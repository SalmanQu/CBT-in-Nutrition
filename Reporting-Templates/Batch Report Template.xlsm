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/>
  <workbookProtection workbookAlgorithmName="SHA-512" workbookHashValue="vFZ9A/795jXUChhE5zwkNlWpDZgv8+ZnRv5LMMZOqIwus59UADQ4qO/KD1XZC77pt9Gwis6CetogErW6JYhc6g==" workbookSaltValue="UNwnaxjCIm8Kf9rfSP9U1A==" workbookSpinCount="100000" lockStructure="1"/>
  <bookViews>
    <workbookView xWindow="0" yWindow="0" windowWidth="22260" windowHeight="12645"/>
  </bookViews>
  <sheets>
    <sheet name="TAR" sheetId="1" r:id="rId1"/>
    <sheet name="TrainingVenue" sheetId="16" state="veryHidden" r:id="rId2"/>
    <sheet name="Date" sheetId="6" state="veryHidden" r:id="rId3"/>
    <sheet name="SA" sheetId="10" r:id="rId4"/>
    <sheet name="Overview" sheetId="8" r:id="rId5"/>
    <sheet name="Email" sheetId="9" r:id="rId6"/>
    <sheet name="DTGroup" sheetId="7" state="veryHidden" r:id="rId7"/>
    <sheet name="Designation" sheetId="15" state="veryHidden" r:id="rId8"/>
  </sheets>
  <definedNames>
    <definedName name="Designation">Designation!$B$2:$B$34</definedName>
    <definedName name="District">TrainingVenue!$A$2:$A$10</definedName>
    <definedName name="DistrictCode">TrainingVenue!$B$2:$B$10</definedName>
    <definedName name="ExternalData_1" localSheetId="6" hidden="1">DTGroup!$A$1:$D$20</definedName>
    <definedName name="Upazila">TrainingVenue!$C$2:$S$10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6" i="6" l="1"/>
  <c r="H13" i="6"/>
  <c r="I13" i="6"/>
  <c r="G13" i="6"/>
  <c r="G10" i="6" l="1"/>
  <c r="E32" i="8"/>
  <c r="D32" i="8"/>
  <c r="C32" i="8"/>
  <c r="E30" i="8"/>
  <c r="D30" i="8"/>
  <c r="C30" i="8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26" i="1"/>
  <c r="B17" i="16"/>
  <c r="B23" i="16"/>
  <c r="A15" i="16"/>
  <c r="D15" i="16" s="1"/>
  <c r="B15" i="16" l="1"/>
  <c r="B26" i="16" s="1"/>
  <c r="S15" i="16"/>
  <c r="K15" i="16"/>
  <c r="G15" i="16"/>
  <c r="R15" i="16"/>
  <c r="N15" i="16"/>
  <c r="J15" i="16"/>
  <c r="F15" i="16"/>
  <c r="Q15" i="16"/>
  <c r="M15" i="16"/>
  <c r="I15" i="16"/>
  <c r="E15" i="16"/>
  <c r="O15" i="16"/>
  <c r="C15" i="16"/>
  <c r="P15" i="16"/>
  <c r="L15" i="16"/>
  <c r="H15" i="16"/>
  <c r="H20" i="10"/>
  <c r="D19" i="9" l="1"/>
  <c r="L17" i="8"/>
  <c r="J34" i="10"/>
  <c r="I34" i="10"/>
  <c r="H34" i="10"/>
  <c r="F34" i="10"/>
  <c r="J33" i="10"/>
  <c r="I33" i="10"/>
  <c r="H33" i="10"/>
  <c r="F33" i="10"/>
  <c r="J32" i="10"/>
  <c r="I32" i="10"/>
  <c r="H32" i="10"/>
  <c r="F32" i="10"/>
  <c r="J31" i="10"/>
  <c r="I31" i="10"/>
  <c r="H31" i="10"/>
  <c r="F31" i="10"/>
  <c r="J30" i="10"/>
  <c r="I30" i="10"/>
  <c r="H30" i="10"/>
  <c r="F30" i="10"/>
  <c r="J29" i="10"/>
  <c r="I29" i="10"/>
  <c r="H29" i="10"/>
  <c r="F29" i="10"/>
  <c r="J28" i="10"/>
  <c r="I28" i="10"/>
  <c r="H28" i="10"/>
  <c r="F28" i="10"/>
  <c r="J27" i="10"/>
  <c r="I27" i="10"/>
  <c r="H27" i="10"/>
  <c r="F27" i="10"/>
  <c r="J26" i="10"/>
  <c r="I26" i="10"/>
  <c r="H26" i="10"/>
  <c r="F26" i="10"/>
  <c r="J25" i="10"/>
  <c r="I25" i="10"/>
  <c r="H25" i="10"/>
  <c r="F25" i="10"/>
  <c r="J24" i="10"/>
  <c r="I24" i="10"/>
  <c r="H24" i="10"/>
  <c r="F24" i="10"/>
  <c r="J23" i="10"/>
  <c r="I23" i="10"/>
  <c r="H23" i="10"/>
  <c r="F23" i="10"/>
  <c r="J22" i="10"/>
  <c r="I22" i="10"/>
  <c r="H22" i="10"/>
  <c r="F22" i="10"/>
  <c r="J21" i="10"/>
  <c r="I21" i="10"/>
  <c r="H21" i="10"/>
  <c r="F21" i="10"/>
  <c r="J20" i="10"/>
  <c r="I20" i="10"/>
  <c r="F20" i="10"/>
  <c r="K22" i="10" l="1"/>
  <c r="K23" i="10"/>
  <c r="K24" i="10"/>
  <c r="K20" i="10"/>
  <c r="K25" i="10"/>
  <c r="K26" i="10"/>
  <c r="K28" i="10"/>
  <c r="K29" i="10"/>
  <c r="K30" i="10"/>
  <c r="K27" i="10"/>
  <c r="K31" i="10"/>
  <c r="K34" i="10"/>
  <c r="K32" i="10"/>
  <c r="K33" i="10"/>
  <c r="K21" i="10"/>
  <c r="K35" i="10" l="1"/>
  <c r="P21" i="8"/>
  <c r="P19" i="8"/>
  <c r="L21" i="8"/>
  <c r="L19" i="8"/>
  <c r="F4" i="7" l="1"/>
  <c r="F10" i="7" l="1"/>
  <c r="F7" i="7"/>
  <c r="F13" i="7"/>
  <c r="D17" i="9" s="1"/>
  <c r="D17" i="8"/>
  <c r="D40" i="8" l="1"/>
  <c r="D39" i="8"/>
  <c r="D41" i="8" l="1"/>
  <c r="D19" i="8" l="1"/>
  <c r="D21" i="8"/>
  <c r="L41" i="8"/>
  <c r="L40" i="8"/>
  <c r="L39" i="8"/>
  <c r="L42" i="8" l="1"/>
  <c r="N27" i="8" s="1"/>
  <c r="N28" i="8" l="1"/>
  <c r="L31" i="8" s="1"/>
  <c r="I6" i="6" l="1"/>
  <c r="G6" i="6"/>
  <c r="G8" i="6" l="1"/>
  <c r="L23" i="8" l="1"/>
  <c r="P23" i="8" l="1"/>
</calcChain>
</file>

<file path=xl/connections.xml><?xml version="1.0" encoding="utf-8"?>
<connections xmlns="http://schemas.openxmlformats.org/spreadsheetml/2006/main">
  <connection id="1" keepAlive="1" name="Query - qryDTAsgn" description="Connection to the 'qryDTAsgn' query in the workbook." type="5" refreshedVersion="6" background="1" saveData="1">
    <dbPr connection="Provider=Microsoft.Mashup.OleDb.1;Data Source=$Workbook$;Location=qryDTAsgn;Extended Properties=&quot;&quot;" command="SELECT * FROM [qryDTAsgn]"/>
  </connection>
</connections>
</file>

<file path=xl/sharedStrings.xml><?xml version="1.0" encoding="utf-8"?>
<sst xmlns="http://schemas.openxmlformats.org/spreadsheetml/2006/main" count="413" uniqueCount="328">
  <si>
    <t>District:</t>
  </si>
  <si>
    <t>Module:</t>
  </si>
  <si>
    <t>Sl.</t>
  </si>
  <si>
    <t>Name</t>
  </si>
  <si>
    <t>Designation</t>
  </si>
  <si>
    <t>Place of Posting</t>
  </si>
  <si>
    <t xml:space="preserve">Mobile </t>
  </si>
  <si>
    <t>Email</t>
  </si>
  <si>
    <t>HI</t>
  </si>
  <si>
    <t>District</t>
  </si>
  <si>
    <t>Pirojpur</t>
  </si>
  <si>
    <t>Chapai Nawabganj</t>
  </si>
  <si>
    <t>Chuadanga</t>
  </si>
  <si>
    <t>Faridpur</t>
  </si>
  <si>
    <t>HA</t>
  </si>
  <si>
    <t>Moulvibazar</t>
  </si>
  <si>
    <t>SI</t>
  </si>
  <si>
    <t>Gender</t>
  </si>
  <si>
    <t>DesignationShort</t>
  </si>
  <si>
    <t>DesignationLong</t>
  </si>
  <si>
    <t>CS</t>
  </si>
  <si>
    <t>Civil Surgeon</t>
  </si>
  <si>
    <t>DCS</t>
  </si>
  <si>
    <t>Deputy Civil Surgeon</t>
  </si>
  <si>
    <t>UHFPO</t>
  </si>
  <si>
    <t>Upazila Health &amp; Family Planning Officer</t>
  </si>
  <si>
    <t>PC</t>
  </si>
  <si>
    <t>Pediatric Consultant</t>
  </si>
  <si>
    <t>MOPHN</t>
  </si>
  <si>
    <t>Medical Officer (Population, Health &amp; Nutrition)</t>
  </si>
  <si>
    <t>MOCS</t>
  </si>
  <si>
    <t>Medical Officer Civil Surgeon</t>
  </si>
  <si>
    <t>MODC</t>
  </si>
  <si>
    <t>Medical Officer Disease Control</t>
  </si>
  <si>
    <t>HEO (Sr)</t>
  </si>
  <si>
    <t>Health Education Officer (Senior)</t>
  </si>
  <si>
    <t>HEO (Jr)</t>
  </si>
  <si>
    <t>Health Education Officer (Junior)</t>
  </si>
  <si>
    <t>DHS</t>
  </si>
  <si>
    <t>PHN</t>
  </si>
  <si>
    <t>Public Health Nurse</t>
  </si>
  <si>
    <t>Nurse (Pediatric Unit)</t>
  </si>
  <si>
    <t>SACMO</t>
  </si>
  <si>
    <t>Sub-Assistant Community Medical Officer</t>
  </si>
  <si>
    <t>MA</t>
  </si>
  <si>
    <t>Medical Assistant</t>
  </si>
  <si>
    <t>Health Inspector</t>
  </si>
  <si>
    <t>AHI</t>
  </si>
  <si>
    <t>Assistant Health Inspector</t>
  </si>
  <si>
    <t>Sanitary Inspector</t>
  </si>
  <si>
    <t>CHCP</t>
  </si>
  <si>
    <t>Community Healthcare Provider</t>
  </si>
  <si>
    <t>Health Assistant</t>
  </si>
  <si>
    <t>DDFP</t>
  </si>
  <si>
    <t>Deputy Director Family Planning</t>
  </si>
  <si>
    <t>ADFP</t>
  </si>
  <si>
    <t>Assistant Director Family Planning</t>
  </si>
  <si>
    <t>UFPO</t>
  </si>
  <si>
    <t>Upazila Family Planning Officer</t>
  </si>
  <si>
    <t>MO (Clinic)</t>
  </si>
  <si>
    <t>Medical Officer (Clinic)</t>
  </si>
  <si>
    <t>Medical Officer - Maternal &amp; Child Health</t>
  </si>
  <si>
    <t>AUFPO</t>
  </si>
  <si>
    <t>Assistant Upazila Family Planning Officer</t>
  </si>
  <si>
    <t>SACMO-FP</t>
  </si>
  <si>
    <t>Sub-Assistant Community Medical Officer - Family Planning</t>
  </si>
  <si>
    <t>FWV</t>
  </si>
  <si>
    <t>Family Welfare Visitor</t>
  </si>
  <si>
    <t>FPI</t>
  </si>
  <si>
    <t>Family Planning Inspector</t>
  </si>
  <si>
    <t>FWA</t>
  </si>
  <si>
    <t>Family Welfare Assistant</t>
  </si>
  <si>
    <t>Bhandaria</t>
  </si>
  <si>
    <t>CS Office</t>
  </si>
  <si>
    <t>Nazirpur</t>
  </si>
  <si>
    <t>Pirojpur Sadar</t>
  </si>
  <si>
    <t>Nesarabad</t>
  </si>
  <si>
    <t>Zianagor</t>
  </si>
  <si>
    <t>Gomastapur</t>
  </si>
  <si>
    <t>Alamdanga</t>
  </si>
  <si>
    <t>Damurhuda</t>
  </si>
  <si>
    <t>Chuadanga Sadar</t>
  </si>
  <si>
    <t>Jibannagar</t>
  </si>
  <si>
    <t>Juri</t>
  </si>
  <si>
    <t>Bholahat</t>
  </si>
  <si>
    <t>Chapai Nawabganj Sadar</t>
  </si>
  <si>
    <t>Shibganj</t>
  </si>
  <si>
    <t>Bhanga</t>
  </si>
  <si>
    <t>Boalmari</t>
  </si>
  <si>
    <t>Alfadanga</t>
  </si>
  <si>
    <t>Nagarkanda</t>
  </si>
  <si>
    <t>Sadarpur</t>
  </si>
  <si>
    <t>Faridpur Sadar</t>
  </si>
  <si>
    <t>Saltha</t>
  </si>
  <si>
    <t>Rajnagar</t>
  </si>
  <si>
    <t>Moulvibazar Sadar</t>
  </si>
  <si>
    <t>Kamalganj</t>
  </si>
  <si>
    <t>Barlekha</t>
  </si>
  <si>
    <t>Kulaura</t>
  </si>
  <si>
    <t>Total:</t>
  </si>
  <si>
    <t>Male:</t>
  </si>
  <si>
    <t>Female:</t>
  </si>
  <si>
    <t>Venue Staging Table</t>
  </si>
  <si>
    <t>Start Date:</t>
  </si>
  <si>
    <t>End Date:</t>
  </si>
  <si>
    <t>Division of Trainees According to Category</t>
  </si>
  <si>
    <t>Division of Trainees According to Gender</t>
  </si>
  <si>
    <t>Module 1</t>
  </si>
  <si>
    <t>Batch No:</t>
  </si>
  <si>
    <t>Batch ID:</t>
  </si>
  <si>
    <t>District Code</t>
  </si>
  <si>
    <t>CN</t>
  </si>
  <si>
    <t>CH</t>
  </si>
  <si>
    <t>FA</t>
  </si>
  <si>
    <t>MO</t>
  </si>
  <si>
    <t>PI</t>
  </si>
  <si>
    <t>Venue Selection:</t>
  </si>
  <si>
    <t>Venue:</t>
  </si>
  <si>
    <t>Module Code:</t>
  </si>
  <si>
    <t>Module 2</t>
  </si>
  <si>
    <t>List of Modules</t>
  </si>
  <si>
    <t>Days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</si>
  <si>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</si>
  <si>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</si>
  <si>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</si>
  <si>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</si>
  <si>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</si>
  <si>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</si>
  <si>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</si>
  <si>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</si>
  <si>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</si>
  <si>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</si>
  <si>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</si>
  <si>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</si>
  <si>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</si>
  <si>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</si>
  <si>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Day</t>
  </si>
  <si>
    <t>Month</t>
  </si>
  <si>
    <t>Standard Batch Size</t>
  </si>
  <si>
    <t>Present Batch</t>
  </si>
  <si>
    <t>Difference</t>
  </si>
  <si>
    <t>↑</t>
  </si>
  <si>
    <t>↓</t>
  </si>
  <si>
    <t>=</t>
  </si>
  <si>
    <t>ADCC</t>
  </si>
  <si>
    <t>Assistant Director Community Clinic</t>
  </si>
  <si>
    <t>Class</t>
  </si>
  <si>
    <t>Class 1</t>
  </si>
  <si>
    <t>Class 2</t>
  </si>
  <si>
    <t>Class 3</t>
  </si>
  <si>
    <t>Group ID:</t>
  </si>
  <si>
    <t>CBT - DT - CN - GR - A</t>
  </si>
  <si>
    <t>Dr. Waliul Haque</t>
  </si>
  <si>
    <t>Mahmuda Akhtar</t>
  </si>
  <si>
    <t>CBT - DT - CN - GR - B</t>
  </si>
  <si>
    <t>Dr. Sharmin Chowdhury</t>
  </si>
  <si>
    <t>Dr. Md. Ruhul Amin Tuhin</t>
  </si>
  <si>
    <t>CBT - DT - CH - GR - A</t>
  </si>
  <si>
    <t>Mohammad Shahed Bablu</t>
  </si>
  <si>
    <t>Dr. Marjiya Aktar</t>
  </si>
  <si>
    <t>CBT - DT - CH - GR - B</t>
  </si>
  <si>
    <t>Dr. Md. Abdullah Sazzad Owaliullah</t>
  </si>
  <si>
    <t>Dr. Moumita Chowdhury</t>
  </si>
  <si>
    <t>CBT - DT - FA - GR - A</t>
  </si>
  <si>
    <t>Md. Khaledur Rashid</t>
  </si>
  <si>
    <t>Dr. Mst. Afroz Zahan Habiba</t>
  </si>
  <si>
    <t>CBT - DT - FA - GR - B</t>
  </si>
  <si>
    <t>Dr. Md. Redoanul Islam</t>
  </si>
  <si>
    <t>Dr. Sanzida Haque</t>
  </si>
  <si>
    <t>CBT - DT - MO - GR - A</t>
  </si>
  <si>
    <t>Dr. Kazi Nazrul Islam</t>
  </si>
  <si>
    <t>Nilima Azad</t>
  </si>
  <si>
    <t>CBT - DT - MO - GR - B</t>
  </si>
  <si>
    <t>Dr. Farhana Laila Lima</t>
  </si>
  <si>
    <t>Dr. Md. Munayem Hussain Khan</t>
  </si>
  <si>
    <t>CBT - DT - PI - GR - A</t>
  </si>
  <si>
    <t>Dr. Md. Shirajul Islam</t>
  </si>
  <si>
    <t>CBT - DT - PI - GR - B</t>
  </si>
  <si>
    <t>Dr. Abdul Hai</t>
  </si>
  <si>
    <t>Akhi Akter</t>
  </si>
  <si>
    <t>Group ID</t>
  </si>
  <si>
    <t>DT1</t>
  </si>
  <si>
    <t>DT2</t>
  </si>
  <si>
    <t>Trainer 1 Name</t>
  </si>
  <si>
    <t>Trainer 2 Name</t>
  </si>
  <si>
    <t>Upazila:</t>
  </si>
  <si>
    <t>District Trainer 1:</t>
  </si>
  <si>
    <t>District Trainer 2:</t>
  </si>
  <si>
    <t>Day 1</t>
  </si>
  <si>
    <t>Day 2</t>
  </si>
  <si>
    <t>Day 3</t>
  </si>
  <si>
    <t>√</t>
  </si>
  <si>
    <t>X</t>
  </si>
  <si>
    <t>Present:</t>
  </si>
  <si>
    <t>Absent:</t>
  </si>
  <si>
    <t>Attendance of Trainees</t>
  </si>
  <si>
    <t>Email Subject:</t>
  </si>
  <si>
    <t>Email Subject</t>
  </si>
  <si>
    <t>District Trainer Information</t>
  </si>
  <si>
    <t>Trainer Group:</t>
  </si>
  <si>
    <t>Training Information</t>
  </si>
  <si>
    <t>to</t>
  </si>
  <si>
    <t>From</t>
  </si>
  <si>
    <t>Nachole</t>
  </si>
  <si>
    <t>Madhukhali</t>
  </si>
  <si>
    <t>Charbhadrasan</t>
  </si>
  <si>
    <t>Sreemongal</t>
  </si>
  <si>
    <t>Kaukhali</t>
  </si>
  <si>
    <t>Mothbaria</t>
  </si>
  <si>
    <t>District Health Superintendent</t>
  </si>
  <si>
    <t>Mail to</t>
  </si>
  <si>
    <t>Salman Quaiyum</t>
  </si>
  <si>
    <t>salman.quaiyum@gmail.com</t>
  </si>
  <si>
    <t>Message:</t>
  </si>
  <si>
    <t>Trainee Attendance Report</t>
  </si>
  <si>
    <t>MO-MCH</t>
  </si>
  <si>
    <t>Total Participants:</t>
  </si>
  <si>
    <t>Correct Answer Pre Test</t>
  </si>
  <si>
    <t>Wrong Answer Pre Test</t>
  </si>
  <si>
    <t>Correct Answer Post Test</t>
  </si>
  <si>
    <t>Wrong Answer Post Test</t>
  </si>
  <si>
    <t>Improvement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</si>
  <si>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</si>
  <si>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</si>
  <si>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</si>
  <si>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</si>
  <si>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</si>
  <si>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</si>
  <si>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</si>
  <si>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</si>
  <si>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</si>
  <si>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</si>
  <si>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</si>
  <si>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</si>
  <si>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</si>
  <si>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</si>
  <si>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</si>
  <si>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Average:</t>
  </si>
  <si>
    <t>Correct Answer Pre Test (%)</t>
  </si>
  <si>
    <t>Correct Answer Post Test (%)</t>
  </si>
  <si>
    <t>Question Number</t>
  </si>
  <si>
    <t>SL.</t>
  </si>
  <si>
    <t>Skill Assessment</t>
  </si>
  <si>
    <t>RMO</t>
  </si>
  <si>
    <t>Resident Medical Officer</t>
  </si>
  <si>
    <t>Medical Officer</t>
  </si>
  <si>
    <t>Nurse (PU)</t>
  </si>
  <si>
    <t>Comilla</t>
  </si>
  <si>
    <t>Habiganj</t>
  </si>
  <si>
    <t>Nilphamari</t>
  </si>
  <si>
    <t>Sirajganj</t>
  </si>
  <si>
    <t>CO</t>
  </si>
  <si>
    <t>NI</t>
  </si>
  <si>
    <t>Comilla Adarsha Sadar</t>
  </si>
  <si>
    <t>Muradnagar</t>
  </si>
  <si>
    <t>Comilla Sadar Daxin</t>
  </si>
  <si>
    <t>Monohargonj</t>
  </si>
  <si>
    <t>Titas</t>
  </si>
  <si>
    <t>Meghna</t>
  </si>
  <si>
    <t>Nangolkot</t>
  </si>
  <si>
    <t>Barura</t>
  </si>
  <si>
    <t>Brahmmanpara</t>
  </si>
  <si>
    <t>Burichong</t>
  </si>
  <si>
    <t>Chandina</t>
  </si>
  <si>
    <t>Chaddagram</t>
  </si>
  <si>
    <t>Daudkandi</t>
  </si>
  <si>
    <t>Debidwar</t>
  </si>
  <si>
    <t>Homna</t>
  </si>
  <si>
    <t>Lakhsam</t>
  </si>
  <si>
    <t>Dimla</t>
  </si>
  <si>
    <t>Nilphamari Sadar</t>
  </si>
  <si>
    <t>Saidpur</t>
  </si>
  <si>
    <t>Domar</t>
  </si>
  <si>
    <t>Kishoreganj</t>
  </si>
  <si>
    <t>Jaldhaka</t>
  </si>
  <si>
    <t>Habiganj Sadar</t>
  </si>
  <si>
    <t>Bahubal</t>
  </si>
  <si>
    <t>Lakhai</t>
  </si>
  <si>
    <t>Nabiganj</t>
  </si>
  <si>
    <t>Chunarughat</t>
  </si>
  <si>
    <t>Baniachong</t>
  </si>
  <si>
    <t>Azmiriganj</t>
  </si>
  <si>
    <t>Madhabpur</t>
  </si>
  <si>
    <t>Shahzadpur</t>
  </si>
  <si>
    <t>Raiganj</t>
  </si>
  <si>
    <t>Ullapara</t>
  </si>
  <si>
    <t>Kazipur</t>
  </si>
  <si>
    <t>Kamarkanda</t>
  </si>
  <si>
    <t>Tarash</t>
  </si>
  <si>
    <t>Sirajganj Sadar</t>
  </si>
  <si>
    <t>Belkuchi</t>
  </si>
  <si>
    <t>Chowhali</t>
  </si>
  <si>
    <t>District Selection</t>
  </si>
  <si>
    <t>CBT - DT - CC - GR - A</t>
  </si>
  <si>
    <t>Dr. Rahatul Jannat Shifa</t>
  </si>
  <si>
    <t>Dr. Md. Mahmudul Hasan</t>
  </si>
  <si>
    <t>CBT - DT - CC - GR - B</t>
  </si>
  <si>
    <t>Dr. MD. Murad Mozumder</t>
  </si>
  <si>
    <t>Dr. Tazkia Tarannum</t>
  </si>
  <si>
    <t>CBT - DT - CO - GR - B</t>
  </si>
  <si>
    <t>Dr. Rabeya Ferdous</t>
  </si>
  <si>
    <t>Dr. Nazrul Islam</t>
  </si>
  <si>
    <t>CBT - DT - CO - GR - A</t>
  </si>
  <si>
    <t>Dr. Rufaida Mubaraka</t>
  </si>
  <si>
    <t>Rokunuzzaman</t>
  </si>
  <si>
    <t>CBT - DT - HA - GR - A</t>
  </si>
  <si>
    <t>Dr. Rowshon Ara Begum</t>
  </si>
  <si>
    <t>Dr. Mofazzal Hossain</t>
  </si>
  <si>
    <t>CBT - DT - HA - GR - B</t>
  </si>
  <si>
    <t>Mahbuba Akther</t>
  </si>
  <si>
    <t>Dr. Nirmal Kanti Ghose</t>
  </si>
  <si>
    <t>CBT - DT - NI - GR - B</t>
  </si>
  <si>
    <t>Dr. Shaharin Hamid</t>
  </si>
  <si>
    <t>Dr. Saikat Roy</t>
  </si>
  <si>
    <t>CBT - DT - NI - GR - A</t>
  </si>
  <si>
    <t>Dr. Abdullah Al-Noman</t>
  </si>
  <si>
    <t>Naznin Sultana</t>
  </si>
  <si>
    <t>CBT - DT - SI - GR - B</t>
  </si>
  <si>
    <t>Kamrun Nahar</t>
  </si>
  <si>
    <t>Dr. Jahid Hasan</t>
  </si>
  <si>
    <t>CBT - DT - SI - GR - A</t>
  </si>
  <si>
    <t>CC</t>
  </si>
  <si>
    <t>Dr. Mridul Debnath</t>
  </si>
  <si>
    <t>Dr. Muktadir Hossain</t>
  </si>
  <si>
    <t>Dr. Tanjina Rahman</t>
  </si>
  <si>
    <t>V2</t>
  </si>
  <si>
    <t>DSI</t>
  </si>
  <si>
    <t>District Sanitary Inspector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</si>
</sst>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00"/>
    <numFmt numFmtId="165" formatCode="00000000000"/>
    <numFmt numFmtId="166" formatCode="[$-409]dd/mmm/yy;@"/>
    <numFmt numFmtId="167" formatCode="00"/>
    <numFmt numFmtId="168" formatCode="[$-F800]dddd\,\ mmmm\ dd\,\ yyyy"/>
  </numFmts>
  <fonts count="28" x14ac:knownFonts="1">
    <font>
      <sz val="11"/>
      <color theme="1"/>
      <name val="Arial"/>
      <family val="2"/>
      <scheme val="minor"/>
    </font>
    <font>
      <b/>
      <sz val="12"/>
      <color theme="1"/>
      <name val="Times New Roman"/>
      <family val="1"/>
    </font>
    <font>
      <b/>
      <i/>
      <sz val="12"/>
      <color theme="1"/>
      <name val="Times New Roman"/>
      <family val="1"/>
    </font>
    <font>
      <sz val="12"/>
      <color theme="1"/>
      <name val="Times New Roman"/>
      <family val="1"/>
    </font>
    <font>
      <sz val="10"/>
      <color indexed="8"/>
      <name val="Arial"/>
      <family val="2"/>
    </font>
    <font>
      <sz val="11"/>
      <color indexed="8"/>
      <name val="Century Gothic"/>
      <family val="2"/>
    </font>
    <font>
      <sz val="11"/>
      <color theme="1"/>
      <name val="Times New Roman"/>
      <family val="1"/>
    </font>
    <font>
      <b/>
      <sz val="11"/>
      <color theme="0"/>
      <name val="Arial"/>
      <family val="2"/>
      <scheme val="minor"/>
    </font>
    <font>
      <b/>
      <sz val="11"/>
      <color theme="1"/>
      <name val="Times New Roman"/>
      <family val="1"/>
    </font>
    <font>
      <b/>
      <sz val="12"/>
      <color theme="0"/>
      <name val="Times New Roman"/>
      <family val="1"/>
    </font>
    <font>
      <b/>
      <sz val="20"/>
      <color theme="1"/>
      <name val="Times New Roman"/>
      <family val="1"/>
    </font>
    <font>
      <sz val="12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sz val="12"/>
      <color rgb="FFFF0000"/>
      <name val="Calibri"/>
      <family val="2"/>
    </font>
    <font>
      <sz val="12"/>
      <color rgb="FF00B050"/>
      <name val="Calibri"/>
      <family val="2"/>
    </font>
    <font>
      <sz val="11"/>
      <color rgb="FF00B0F0"/>
      <name val="Times New Roman"/>
      <family val="1"/>
    </font>
    <font>
      <sz val="11"/>
      <color theme="1"/>
      <name val="Times New Roman"/>
      <family val="1"/>
      <scheme val="major"/>
    </font>
    <font>
      <b/>
      <sz val="11"/>
      <color theme="1"/>
      <name val="Times New Roman"/>
      <family val="1"/>
      <scheme val="major"/>
    </font>
    <font>
      <sz val="11"/>
      <color rgb="FF00B050"/>
      <name val="Calibri"/>
      <family val="2"/>
    </font>
    <font>
      <sz val="11"/>
      <color rgb="FFFF0000"/>
      <name val="Times New Roman"/>
      <family val="1"/>
    </font>
    <font>
      <b/>
      <u/>
      <sz val="11"/>
      <color theme="1"/>
      <name val="Times New Roman"/>
      <family val="1"/>
      <scheme val="major"/>
    </font>
    <font>
      <b/>
      <i/>
      <sz val="12"/>
      <color theme="1"/>
      <name val="Times New Roman"/>
      <family val="1"/>
      <scheme val="major"/>
    </font>
    <font>
      <b/>
      <u/>
      <sz val="12"/>
      <color theme="1"/>
      <name val="Times New Roman"/>
      <family val="1"/>
      <scheme val="major"/>
    </font>
    <font>
      <sz val="20"/>
      <color theme="1"/>
      <name val="Times New Roman"/>
      <family val="1"/>
      <scheme val="major"/>
    </font>
    <font>
      <b/>
      <sz val="16"/>
      <color rgb="FF000000"/>
      <name val="Times New Roman"/>
      <family val="1"/>
    </font>
    <font>
      <sz val="11"/>
      <color theme="1"/>
      <name val="Arial"/>
      <family val="2"/>
      <scheme val="minor"/>
    </font>
    <font>
      <sz val="12"/>
      <color indexed="8"/>
      <name val="Times New Roman"/>
      <family val="1"/>
      <scheme val="major"/>
    </font>
    <font>
      <sz val="12"/>
      <color theme="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/>
      </top>
      <bottom/>
      <diagonal/>
    </border>
  </borders>
  <cellStyleXfs count="3">
    <xf numFmtId="0" fontId="0" fillId="0" borderId="0"/>
    <xf numFmtId="0" fontId="4" fillId="0" borderId="0"/>
    <xf numFmtId="9" fontId="25" fillId="0" borderId="0" applyFont="0" applyFill="0" applyBorder="0" applyAlignment="0" applyProtection="0"/>
  </cellStyleXfs>
  <cellXfs count="154">
    <xf numFmtId="0" fontId="0" fillId="0" borderId="0" xfId="0"/>
    <xf numFmtId="0" fontId="11" fillId="0" borderId="0" xfId="0" applyFont="1" applyProtection="1">
      <protection hidden="1"/>
    </xf>
    <xf numFmtId="0" fontId="11" fillId="0" borderId="0" xfId="0" applyFont="1" applyAlignment="1" applyProtection="1">
      <protection hidden="1"/>
    </xf>
    <xf numFmtId="0" fontId="16" fillId="0" borderId="0" xfId="0" applyFont="1" applyProtection="1"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11" fillId="0" borderId="0" xfId="0" applyFont="1" applyAlignment="1" applyProtection="1">
      <alignment horizontal="center" vertical="center"/>
      <protection hidden="1"/>
    </xf>
    <xf numFmtId="0" fontId="11" fillId="0" borderId="0" xfId="0" applyFont="1" applyBorder="1" applyAlignment="1" applyProtection="1">
      <protection hidden="1"/>
    </xf>
    <xf numFmtId="0" fontId="20" fillId="0" borderId="0" xfId="0" applyFont="1" applyProtection="1">
      <protection hidden="1"/>
    </xf>
    <xf numFmtId="0" fontId="22" fillId="0" borderId="0" xfId="0" applyFont="1" applyAlignment="1" applyProtection="1">
      <protection hidden="1"/>
    </xf>
    <xf numFmtId="0" fontId="16" fillId="0" borderId="13" xfId="0" applyFont="1" applyBorder="1" applyProtection="1">
      <protection hidden="1"/>
    </xf>
    <xf numFmtId="0" fontId="17" fillId="0" borderId="4" xfId="0" applyFont="1" applyBorder="1" applyAlignment="1" applyProtection="1">
      <alignment horizontal="center"/>
      <protection hidden="1"/>
    </xf>
    <xf numFmtId="0" fontId="17" fillId="0" borderId="0" xfId="0" applyFont="1" applyBorder="1" applyAlignment="1" applyProtection="1">
      <alignment horizontal="center"/>
      <protection hidden="1"/>
    </xf>
    <xf numFmtId="0" fontId="16" fillId="0" borderId="14" xfId="0" applyFont="1" applyBorder="1" applyProtection="1">
      <protection hidden="1"/>
    </xf>
    <xf numFmtId="0" fontId="16" fillId="0" borderId="8" xfId="0" applyFont="1" applyBorder="1" applyProtection="1">
      <protection hidden="1"/>
    </xf>
    <xf numFmtId="0" fontId="16" fillId="0" borderId="0" xfId="0" applyFont="1" applyBorder="1" applyProtection="1">
      <protection hidden="1"/>
    </xf>
    <xf numFmtId="0" fontId="16" fillId="0" borderId="9" xfId="0" applyFont="1" applyBorder="1" applyProtection="1">
      <protection hidden="1"/>
    </xf>
    <xf numFmtId="0" fontId="17" fillId="0" borderId="14" xfId="0" applyFont="1" applyBorder="1" applyAlignment="1" applyProtection="1">
      <alignment horizontal="center"/>
      <protection hidden="1"/>
    </xf>
    <xf numFmtId="0" fontId="16" fillId="0" borderId="4" xfId="0" applyFont="1" applyBorder="1" applyAlignment="1" applyProtection="1">
      <alignment horizontal="center"/>
      <protection hidden="1"/>
    </xf>
    <xf numFmtId="0" fontId="16" fillId="0" borderId="0" xfId="0" applyFont="1" applyBorder="1" applyAlignment="1" applyProtection="1">
      <alignment horizontal="center"/>
      <protection hidden="1"/>
    </xf>
    <xf numFmtId="0" fontId="16" fillId="0" borderId="12" xfId="0" applyFont="1" applyBorder="1" applyProtection="1">
      <protection hidden="1"/>
    </xf>
    <xf numFmtId="0" fontId="16" fillId="0" borderId="10" xfId="0" applyFont="1" applyBorder="1" applyProtection="1">
      <protection hidden="1"/>
    </xf>
    <xf numFmtId="0" fontId="16" fillId="0" borderId="1" xfId="0" applyFont="1" applyBorder="1" applyProtection="1">
      <protection hidden="1"/>
    </xf>
    <xf numFmtId="0" fontId="16" fillId="0" borderId="11" xfId="0" applyFont="1" applyBorder="1" applyProtection="1">
      <protection hidden="1"/>
    </xf>
    <xf numFmtId="0" fontId="3" fillId="0" borderId="0" xfId="0" applyFont="1" applyAlignment="1" applyProtection="1">
      <protection hidden="1"/>
    </xf>
    <xf numFmtId="0" fontId="3" fillId="0" borderId="0" xfId="0" applyFont="1" applyProtection="1">
      <protection hidden="1"/>
    </xf>
    <xf numFmtId="0" fontId="0" fillId="0" borderId="0" xfId="0" applyProtection="1">
      <protection hidden="1"/>
    </xf>
    <xf numFmtId="0" fontId="3" fillId="0" borderId="4" xfId="0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</xf>
    <xf numFmtId="0" fontId="9" fillId="3" borderId="4" xfId="0" applyFont="1" applyFill="1" applyBorder="1" applyAlignment="1" applyProtection="1">
      <alignment horizontal="center" vertical="center"/>
      <protection hidden="1"/>
    </xf>
    <xf numFmtId="0" fontId="0" fillId="0" borderId="4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</xf>
    <xf numFmtId="0" fontId="1" fillId="0" borderId="0" xfId="0" applyFont="1" applyAlignment="1" applyProtection="1">
      <alignment horizontal="left" vertical="center"/>
    </xf>
    <xf numFmtId="0" fontId="2" fillId="0" borderId="0" xfId="0" applyFont="1" applyAlignment="1" applyProtection="1">
      <alignment horizontal="left" vertical="center"/>
    </xf>
    <xf numFmtId="0" fontId="3" fillId="0" borderId="0" xfId="0" applyFont="1" applyBorder="1" applyAlignment="1" applyProtection="1">
      <alignment horizontal="left" vertical="center"/>
    </xf>
    <xf numFmtId="0" fontId="3" fillId="0" borderId="13" xfId="0" applyFont="1" applyBorder="1" applyAlignment="1" applyProtection="1">
      <alignment horizontal="left" vertical="center"/>
    </xf>
    <xf numFmtId="0" fontId="3" fillId="0" borderId="14" xfId="0" applyFont="1" applyBorder="1" applyAlignment="1" applyProtection="1">
      <alignment horizontal="left" vertical="center"/>
    </xf>
    <xf numFmtId="0" fontId="3" fillId="0" borderId="5" xfId="0" applyFont="1" applyBorder="1" applyAlignment="1" applyProtection="1">
      <alignment horizontal="left" vertical="center"/>
    </xf>
    <xf numFmtId="0" fontId="3" fillId="0" borderId="7" xfId="0" applyFont="1" applyBorder="1" applyAlignment="1" applyProtection="1">
      <alignment horizontal="left" vertical="center"/>
    </xf>
    <xf numFmtId="0" fontId="3" fillId="0" borderId="8" xfId="0" applyFont="1" applyBorder="1" applyAlignment="1" applyProtection="1">
      <alignment horizontal="left" vertical="center"/>
    </xf>
    <xf numFmtId="0" fontId="3" fillId="0" borderId="9" xfId="0" applyFont="1" applyBorder="1" applyAlignment="1" applyProtection="1">
      <alignment horizontal="left" vertical="center"/>
    </xf>
    <xf numFmtId="0" fontId="3" fillId="0" borderId="12" xfId="0" applyFont="1" applyBorder="1" applyAlignment="1" applyProtection="1">
      <alignment horizontal="left" vertical="center"/>
    </xf>
    <xf numFmtId="0" fontId="3" fillId="0" borderId="10" xfId="0" applyFont="1" applyBorder="1" applyAlignment="1" applyProtection="1">
      <alignment horizontal="left" vertical="center"/>
    </xf>
    <xf numFmtId="0" fontId="3" fillId="0" borderId="1" xfId="0" applyFont="1" applyBorder="1" applyAlignment="1" applyProtection="1">
      <alignment horizontal="left" vertical="center"/>
    </xf>
    <xf numFmtId="0" fontId="3" fillId="0" borderId="11" xfId="0" applyFont="1" applyBorder="1" applyAlignment="1" applyProtection="1">
      <alignment horizontal="left" vertical="center"/>
    </xf>
    <xf numFmtId="0" fontId="3" fillId="0" borderId="4" xfId="0" applyFont="1" applyBorder="1" applyAlignment="1" applyProtection="1">
      <alignment horizontal="left" vertical="center" wrapText="1"/>
      <protection locked="0"/>
    </xf>
    <xf numFmtId="165" fontId="3" fillId="0" borderId="4" xfId="0" applyNumberFormat="1" applyFont="1" applyBorder="1" applyAlignment="1" applyProtection="1">
      <alignment horizontal="left" vertical="center"/>
      <protection locked="0"/>
    </xf>
    <xf numFmtId="0" fontId="3" fillId="0" borderId="4" xfId="0" applyFont="1" applyBorder="1" applyAlignment="1" applyProtection="1">
      <alignment horizontal="left" vertical="center" shrinkToFit="1"/>
      <protection locked="0"/>
    </xf>
    <xf numFmtId="0" fontId="1" fillId="0" borderId="0" xfId="0" applyFont="1" applyBorder="1" applyAlignment="1" applyProtection="1">
      <alignment horizontal="left" vertical="center"/>
    </xf>
    <xf numFmtId="164" fontId="3" fillId="0" borderId="4" xfId="0" applyNumberFormat="1" applyFont="1" applyBorder="1" applyAlignment="1" applyProtection="1">
      <alignment horizontal="center" vertical="center"/>
      <protection locked="0"/>
    </xf>
    <xf numFmtId="0" fontId="1" fillId="0" borderId="14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</xf>
    <xf numFmtId="0" fontId="3" fillId="0" borderId="14" xfId="0" applyFont="1" applyBorder="1" applyAlignment="1" applyProtection="1">
      <alignment horizontal="center" vertical="center"/>
      <protection locked="0"/>
    </xf>
    <xf numFmtId="0" fontId="3" fillId="0" borderId="12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</xf>
    <xf numFmtId="0" fontId="3" fillId="0" borderId="19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/>
    </xf>
    <xf numFmtId="0" fontId="1" fillId="0" borderId="4" xfId="0" applyFont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/>
      <protection hidden="1"/>
    </xf>
    <xf numFmtId="0" fontId="3" fillId="0" borderId="12" xfId="0" applyFont="1" applyBorder="1" applyAlignment="1" applyProtection="1">
      <alignment horizontal="center" vertical="center"/>
      <protection hidden="1"/>
    </xf>
    <xf numFmtId="0" fontId="3" fillId="0" borderId="13" xfId="0" quotePrefix="1" applyFont="1" applyBorder="1" applyAlignment="1" applyProtection="1">
      <alignment horizontal="center" vertical="center"/>
      <protection hidden="1"/>
    </xf>
    <xf numFmtId="0" fontId="3" fillId="0" borderId="14" xfId="0" quotePrefix="1" applyFont="1" applyBorder="1" applyAlignment="1" applyProtection="1">
      <alignment horizontal="center" vertical="center"/>
      <protection hidden="1"/>
    </xf>
    <xf numFmtId="0" fontId="3" fillId="0" borderId="12" xfId="0" quotePrefix="1" applyFont="1" applyBorder="1" applyAlignment="1" applyProtection="1">
      <alignment horizontal="center" vertical="center"/>
      <protection hidden="1"/>
    </xf>
    <xf numFmtId="9" fontId="3" fillId="0" borderId="14" xfId="2" applyFont="1" applyBorder="1" applyAlignment="1" applyProtection="1">
      <alignment horizontal="center" vertical="center"/>
      <protection hidden="1"/>
    </xf>
    <xf numFmtId="9" fontId="3" fillId="0" borderId="12" xfId="2" applyFont="1" applyBorder="1" applyAlignment="1" applyProtection="1">
      <alignment horizontal="center" vertical="center"/>
      <protection hidden="1"/>
    </xf>
    <xf numFmtId="0" fontId="1" fillId="0" borderId="18" xfId="0" applyFont="1" applyBorder="1" applyAlignment="1" applyProtection="1">
      <alignment horizontal="center" vertical="center" wrapText="1"/>
      <protection hidden="1"/>
    </xf>
    <xf numFmtId="9" fontId="3" fillId="0" borderId="13" xfId="2" applyFont="1" applyBorder="1" applyAlignment="1" applyProtection="1">
      <alignment horizontal="center" vertical="center"/>
      <protection hidden="1"/>
    </xf>
    <xf numFmtId="9" fontId="3" fillId="0" borderId="18" xfId="0" applyNumberFormat="1" applyFont="1" applyBorder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/>
      <protection hidden="1"/>
    </xf>
    <xf numFmtId="0" fontId="12" fillId="0" borderId="0" xfId="0" applyFont="1" applyProtection="1">
      <protection hidden="1"/>
    </xf>
    <xf numFmtId="166" fontId="11" fillId="0" borderId="0" xfId="0" applyNumberFormat="1" applyFont="1" applyProtection="1">
      <protection hidden="1"/>
    </xf>
    <xf numFmtId="0" fontId="8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5" fillId="0" borderId="0" xfId="1" applyFont="1" applyFill="1" applyBorder="1" applyAlignment="1" applyProtection="1">
      <alignment wrapText="1"/>
      <protection hidden="1"/>
    </xf>
    <xf numFmtId="0" fontId="15" fillId="0" borderId="0" xfId="0" quotePrefix="1" applyFont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8" fillId="0" borderId="0" xfId="0" applyFont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6" fillId="0" borderId="0" xfId="0" applyFont="1" applyFill="1" applyBorder="1" applyProtection="1">
      <protection hidden="1"/>
    </xf>
    <xf numFmtId="49" fontId="11" fillId="0" borderId="4" xfId="0" quotePrefix="1" applyNumberFormat="1" applyFont="1" applyBorder="1" applyProtection="1">
      <protection locked="0"/>
    </xf>
    <xf numFmtId="0" fontId="7" fillId="3" borderId="2" xfId="0" applyFont="1" applyFill="1" applyBorder="1"/>
    <xf numFmtId="0" fontId="7" fillId="3" borderId="3" xfId="0" applyFont="1" applyFill="1" applyBorder="1"/>
    <xf numFmtId="0" fontId="7" fillId="3" borderId="20" xfId="0" applyFont="1" applyFill="1" applyBorder="1"/>
    <xf numFmtId="0" fontId="0" fillId="0" borderId="15" xfId="0" applyFont="1" applyBorder="1"/>
    <xf numFmtId="0" fontId="0" fillId="0" borderId="16" xfId="0" applyFont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2" borderId="20" xfId="0" applyFont="1" applyFill="1" applyBorder="1"/>
    <xf numFmtId="0" fontId="11" fillId="0" borderId="0" xfId="0" applyFont="1"/>
    <xf numFmtId="0" fontId="11" fillId="0" borderId="0" xfId="0" applyFont="1" applyFill="1" applyProtection="1">
      <protection hidden="1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11" fillId="0" borderId="0" xfId="0" applyNumberFormat="1" applyFont="1" applyAlignment="1">
      <alignment vertical="center"/>
    </xf>
    <xf numFmtId="0" fontId="11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1" fillId="0" borderId="0" xfId="0" applyFont="1" applyFill="1" applyAlignment="1" applyProtection="1">
      <alignment horizontal="left" vertical="center"/>
      <protection hidden="1"/>
    </xf>
    <xf numFmtId="0" fontId="26" fillId="0" borderId="0" xfId="0" applyFont="1" applyFill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left"/>
      <protection hidden="1"/>
    </xf>
    <xf numFmtId="0" fontId="12" fillId="0" borderId="0" xfId="0" applyNumberFormat="1" applyFont="1" applyAlignment="1">
      <alignment vertical="center"/>
    </xf>
    <xf numFmtId="167" fontId="3" fillId="0" borderId="4" xfId="0" applyNumberFormat="1" applyFont="1" applyBorder="1" applyAlignment="1" applyProtection="1">
      <alignment horizontal="center" vertical="center"/>
      <protection locked="0" hidden="1"/>
    </xf>
    <xf numFmtId="0" fontId="3" fillId="0" borderId="4" xfId="0" applyFont="1" applyBorder="1" applyAlignment="1" applyProtection="1">
      <alignment horizontal="center" vertical="center"/>
      <protection locked="0" hidden="1"/>
    </xf>
    <xf numFmtId="0" fontId="3" fillId="0" borderId="0" xfId="0" applyFont="1"/>
    <xf numFmtId="0" fontId="27" fillId="0" borderId="1" xfId="0" applyFont="1" applyBorder="1" applyAlignment="1" applyProtection="1">
      <alignment horizontal="left" vertical="center"/>
      <protection hidden="1"/>
    </xf>
    <xf numFmtId="0" fontId="3" fillId="0" borderId="1" xfId="0" applyFont="1" applyBorder="1" applyAlignment="1" applyProtection="1">
      <alignment horizontal="left" vertical="center"/>
      <protection hidden="1"/>
    </xf>
    <xf numFmtId="0" fontId="27" fillId="0" borderId="1" xfId="0" applyFont="1" applyBorder="1" applyAlignment="1" applyProtection="1">
      <alignment horizontal="left" vertical="center"/>
      <protection locked="0" hidden="1"/>
    </xf>
    <xf numFmtId="0" fontId="1" fillId="0" borderId="0" xfId="0" applyFont="1" applyAlignment="1" applyProtection="1">
      <alignment horizontal="center" vertical="center"/>
    </xf>
    <xf numFmtId="0" fontId="1" fillId="0" borderId="9" xfId="0" applyFont="1" applyBorder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3" fillId="0" borderId="0" xfId="0" applyFont="1" applyBorder="1" applyAlignment="1" applyProtection="1">
      <alignment horizontal="left" vertical="center"/>
    </xf>
    <xf numFmtId="0" fontId="12" fillId="0" borderId="0" xfId="0" applyFont="1" applyAlignment="1">
      <alignment horizontal="center"/>
    </xf>
    <xf numFmtId="0" fontId="3" fillId="0" borderId="0" xfId="0" applyNumberFormat="1" applyFont="1" applyBorder="1" applyAlignment="1" applyProtection="1">
      <alignment horizontal="center"/>
      <protection hidden="1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0" borderId="18" xfId="0" applyFont="1" applyBorder="1" applyAlignment="1" applyProtection="1">
      <alignment horizontal="center" vertical="center"/>
      <protection locked="0"/>
    </xf>
    <xf numFmtId="0" fontId="16" fillId="0" borderId="17" xfId="0" applyFont="1" applyBorder="1" applyAlignment="1" applyProtection="1">
      <alignment horizontal="center"/>
      <protection hidden="1"/>
    </xf>
    <xf numFmtId="0" fontId="16" fillId="0" borderId="18" xfId="0" applyFont="1" applyBorder="1" applyAlignment="1" applyProtection="1">
      <alignment horizontal="center"/>
      <protection hidden="1"/>
    </xf>
    <xf numFmtId="0" fontId="17" fillId="0" borderId="8" xfId="0" applyFont="1" applyBorder="1" applyAlignment="1" applyProtection="1">
      <alignment horizontal="center"/>
      <protection hidden="1"/>
    </xf>
    <xf numFmtId="0" fontId="17" fillId="0" borderId="9" xfId="0" applyFont="1" applyBorder="1" applyAlignment="1" applyProtection="1">
      <alignment horizontal="center"/>
      <protection hidden="1"/>
    </xf>
    <xf numFmtId="0" fontId="16" fillId="0" borderId="17" xfId="0" applyFont="1" applyBorder="1" applyAlignment="1" applyProtection="1">
      <alignment horizontal="center" shrinkToFit="1"/>
      <protection hidden="1"/>
    </xf>
    <xf numFmtId="0" fontId="16" fillId="0" borderId="18" xfId="0" applyFont="1" applyBorder="1" applyAlignment="1" applyProtection="1">
      <alignment horizontal="center" shrinkToFit="1"/>
      <protection hidden="1"/>
    </xf>
    <xf numFmtId="0" fontId="11" fillId="0" borderId="1" xfId="0" applyFont="1" applyBorder="1" applyAlignment="1" applyProtection="1">
      <alignment horizontal="center"/>
      <protection hidden="1"/>
    </xf>
    <xf numFmtId="0" fontId="11" fillId="0" borderId="11" xfId="0" applyFont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center"/>
      <protection hidden="1"/>
    </xf>
    <xf numFmtId="168" fontId="16" fillId="0" borderId="0" xfId="0" applyNumberFormat="1" applyFont="1" applyAlignment="1" applyProtection="1">
      <alignment horizontal="center" shrinkToFit="1"/>
      <protection hidden="1"/>
    </xf>
    <xf numFmtId="0" fontId="12" fillId="0" borderId="10" xfId="0" applyFont="1" applyBorder="1" applyAlignment="1" applyProtection="1">
      <alignment horizontal="center"/>
      <protection hidden="1"/>
    </xf>
    <xf numFmtId="0" fontId="12" fillId="0" borderId="1" xfId="0" applyFont="1" applyBorder="1" applyAlignment="1" applyProtection="1">
      <alignment horizontal="center"/>
      <protection hidden="1"/>
    </xf>
    <xf numFmtId="0" fontId="11" fillId="0" borderId="6" xfId="0" applyFont="1" applyBorder="1" applyAlignment="1" applyProtection="1">
      <alignment horizontal="center"/>
      <protection hidden="1"/>
    </xf>
    <xf numFmtId="0" fontId="11" fillId="0" borderId="7" xfId="0" applyFont="1" applyBorder="1" applyAlignment="1" applyProtection="1">
      <alignment horizontal="center"/>
      <protection hidden="1"/>
    </xf>
    <xf numFmtId="0" fontId="16" fillId="0" borderId="4" xfId="0" applyFont="1" applyBorder="1" applyAlignment="1" applyProtection="1">
      <alignment horizontal="center"/>
      <protection hidden="1"/>
    </xf>
    <xf numFmtId="0" fontId="11" fillId="0" borderId="5" xfId="0" applyFont="1" applyBorder="1" applyAlignment="1" applyProtection="1">
      <alignment horizontal="center"/>
      <protection hidden="1"/>
    </xf>
    <xf numFmtId="0" fontId="11" fillId="0" borderId="10" xfId="0" applyFont="1" applyBorder="1" applyAlignment="1" applyProtection="1">
      <alignment horizontal="center"/>
      <protection hidden="1"/>
    </xf>
    <xf numFmtId="0" fontId="11" fillId="0" borderId="0" xfId="0" applyFont="1" applyBorder="1" applyAlignment="1" applyProtection="1">
      <alignment horizontal="center"/>
      <protection hidden="1"/>
    </xf>
    <xf numFmtId="0" fontId="11" fillId="0" borderId="9" xfId="0" applyFont="1" applyBorder="1" applyAlignment="1" applyProtection="1">
      <alignment horizontal="center"/>
      <protection hidden="1"/>
    </xf>
    <xf numFmtId="0" fontId="11" fillId="0" borderId="8" xfId="0" applyFont="1" applyBorder="1" applyAlignment="1" applyProtection="1">
      <alignment horizontal="center"/>
      <protection hidden="1"/>
    </xf>
    <xf numFmtId="0" fontId="23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2" fillId="0" borderId="9" xfId="0" applyFont="1" applyBorder="1" applyAlignment="1" applyProtection="1">
      <alignment horizontal="center"/>
      <protection hidden="1"/>
    </xf>
    <xf numFmtId="0" fontId="11" fillId="0" borderId="17" xfId="0" applyFont="1" applyBorder="1" applyAlignment="1" applyProtection="1">
      <alignment horizontal="center" shrinkToFit="1"/>
      <protection hidden="1"/>
    </xf>
    <xf numFmtId="0" fontId="11" fillId="0" borderId="19" xfId="0" applyFont="1" applyBorder="1" applyAlignment="1" applyProtection="1">
      <alignment horizontal="center" shrinkToFit="1"/>
      <protection hidden="1"/>
    </xf>
    <xf numFmtId="0" fontId="11" fillId="0" borderId="18" xfId="0" applyFont="1" applyBorder="1" applyAlignment="1" applyProtection="1">
      <alignment horizontal="center" shrinkToFit="1"/>
      <protection hidden="1"/>
    </xf>
    <xf numFmtId="0" fontId="11" fillId="0" borderId="17" xfId="0" applyFont="1" applyBorder="1" applyAlignment="1" applyProtection="1">
      <alignment horizontal="center"/>
      <protection hidden="1"/>
    </xf>
    <xf numFmtId="0" fontId="11" fillId="0" borderId="19" xfId="0" applyFont="1" applyBorder="1" applyAlignment="1" applyProtection="1">
      <alignment horizontal="center"/>
      <protection hidden="1"/>
    </xf>
    <xf numFmtId="0" fontId="11" fillId="0" borderId="18" xfId="0" applyFont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0" fontId="1" fillId="0" borderId="9" xfId="0" applyFont="1" applyBorder="1" applyAlignment="1" applyProtection="1">
      <alignment horizontal="center"/>
      <protection hidden="1"/>
    </xf>
    <xf numFmtId="0" fontId="3" fillId="0" borderId="0" xfId="0" applyFont="1" applyBorder="1" applyAlignment="1" applyProtection="1">
      <alignment horizontal="center"/>
      <protection hidden="1"/>
    </xf>
    <xf numFmtId="0" fontId="3" fillId="0" borderId="17" xfId="0" applyFont="1" applyBorder="1" applyAlignment="1" applyProtection="1">
      <alignment horizontal="center"/>
      <protection hidden="1"/>
    </xf>
    <xf numFmtId="0" fontId="3" fillId="0" borderId="19" xfId="0" applyFont="1" applyBorder="1" applyAlignment="1" applyProtection="1">
      <alignment horizontal="center"/>
      <protection hidden="1"/>
    </xf>
    <xf numFmtId="0" fontId="3" fillId="0" borderId="18" xfId="0" applyFont="1" applyBorder="1" applyAlignment="1" applyProtection="1">
      <alignment horizontal="center"/>
      <protection hidden="1"/>
    </xf>
    <xf numFmtId="0" fontId="3" fillId="0" borderId="4" xfId="0" applyFont="1" applyBorder="1" applyAlignment="1" applyProtection="1">
      <alignment horizontal="center" shrinkToFit="1"/>
      <protection hidden="1"/>
    </xf>
    <xf numFmtId="0" fontId="3" fillId="0" borderId="4" xfId="0" applyFont="1" applyBorder="1" applyAlignment="1" applyProtection="1">
      <alignment horizontal="center"/>
      <protection hidden="1"/>
    </xf>
  </cellXfs>
  <cellStyles count="3">
    <cellStyle name="Normal" xfId="0" builtinId="0"/>
    <cellStyle name="Normal_Sheet2" xfId="1"/>
    <cellStyle name="Percent" xfId="2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Pre</a:t>
            </a:r>
            <a:r>
              <a:rPr lang="en-US" baseline="0"/>
              <a:t> &amp; Post Test Comparison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SA!$I$19</c:f>
              <c:strCache>
                <c:ptCount val="1"/>
                <c:pt idx="0">
                  <c:v>Correct Answer Pre Test (%)</c:v>
                </c:pt>
              </c:strCache>
            </c:strRef>
          </c:tx>
          <c:spPr>
            <a:gradFill rotWithShape="1">
              <a:gsLst>
                <a:gs pos="0">
                  <a:schemeClr val="accent1"/>
                </a:gs>
                <a:gs pos="100000">
                  <a:schemeClr val="accent1">
                    <a:shade val="48000"/>
                    <a:satMod val="180000"/>
                    <a:lumMod val="94000"/>
                  </a:schemeClr>
                </a:gs>
                <a:gs pos="100000">
                  <a:schemeClr val="accent1">
                    <a:shade val="48000"/>
                    <a:satMod val="180000"/>
                    <a:lumMod val="94000"/>
                  </a:schemeClr>
                </a:gs>
              </a:gsLst>
              <a:lin ang="414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9800000"/>
              </a:lightRig>
            </a:scene3d>
            <a:sp3d prstMaterial="plastic">
              <a:bevelT w="38100" h="3175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SA!$D$20:$D$34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f>SA!$I$20:$I$34</c:f>
              <c:numCache>
                <c:formatCode>0%</c:formatCode>
                <c:ptCount val="15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B2-422C-99D7-9161C5CE2651}"/>
            </c:ext>
          </c:extLst>
        </c:ser>
        <c:ser>
          <c:idx val="1"/>
          <c:order val="1"/>
          <c:tx>
            <c:strRef>
              <c:f>SA!$J$19</c:f>
              <c:strCache>
                <c:ptCount val="1"/>
                <c:pt idx="0">
                  <c:v>Correct Answer Post Test (%)</c:v>
                </c:pt>
              </c:strCache>
            </c:strRef>
          </c:tx>
          <c:spPr>
            <a:gradFill rotWithShape="1">
              <a:gsLst>
                <a:gs pos="0">
                  <a:schemeClr val="accent3"/>
                </a:gs>
                <a:gs pos="100000">
                  <a:schemeClr val="accent3">
                    <a:shade val="48000"/>
                    <a:satMod val="180000"/>
                    <a:lumMod val="94000"/>
                  </a:schemeClr>
                </a:gs>
                <a:gs pos="100000">
                  <a:schemeClr val="accent3">
                    <a:shade val="48000"/>
                    <a:satMod val="180000"/>
                    <a:lumMod val="94000"/>
                  </a:schemeClr>
                </a:gs>
              </a:gsLst>
              <a:lin ang="414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9800000"/>
              </a:lightRig>
            </a:scene3d>
            <a:sp3d prstMaterial="plastic">
              <a:bevelT w="38100" h="3175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SA!$D$20:$D$34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f>SA!$J$20:$J$34</c:f>
              <c:numCache>
                <c:formatCode>0%</c:formatCode>
                <c:ptCount val="15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B2-422C-99D7-9161C5CE26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100"/>
        <c:axId val="233531136"/>
        <c:axId val="233531520"/>
      </c:barChart>
      <c:lineChart>
        <c:grouping val="standard"/>
        <c:varyColors val="0"/>
        <c:ser>
          <c:idx val="2"/>
          <c:order val="2"/>
          <c:tx>
            <c:strRef>
              <c:f>SA!$K$19</c:f>
              <c:strCache>
                <c:ptCount val="1"/>
                <c:pt idx="0">
                  <c:v>Improvement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SA!$D$20:$D$34</c:f>
              <c:strCach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strCache>
            </c:strRef>
          </c:cat>
          <c:val>
            <c:numRef>
              <c:f>SA!$K$20:$K$34</c:f>
              <c:numCache>
                <c:formatCode>0%</c:formatCode>
                <c:ptCount val="15"/>
                <c:pt idx="0">
                  <c:v>0.30000000000000004</c:v>
                </c:pt>
                <c:pt idx="1">
                  <c:v>0.30000000000000004</c:v>
                </c:pt>
                <c:pt idx="2">
                  <c:v>0.30000000000000004</c:v>
                </c:pt>
                <c:pt idx="3">
                  <c:v>0.30000000000000004</c:v>
                </c:pt>
                <c:pt idx="4">
                  <c:v>0.30000000000000004</c:v>
                </c:pt>
                <c:pt idx="5">
                  <c:v>0.30000000000000004</c:v>
                </c:pt>
                <c:pt idx="6">
                  <c:v>0.30000000000000004</c:v>
                </c:pt>
                <c:pt idx="7">
                  <c:v>0.30000000000000004</c:v>
                </c:pt>
                <c:pt idx="8">
                  <c:v>0.30000000000000004</c:v>
                </c:pt>
                <c:pt idx="9">
                  <c:v>0.30000000000000004</c:v>
                </c:pt>
                <c:pt idx="10">
                  <c:v>0.30000000000000004</c:v>
                </c:pt>
                <c:pt idx="11">
                  <c:v>0.30000000000000004</c:v>
                </c:pt>
                <c:pt idx="12">
                  <c:v>0.30000000000000004</c:v>
                </c:pt>
                <c:pt idx="13">
                  <c:v>0.30000000000000004</c:v>
                </c:pt>
                <c:pt idx="14">
                  <c:v>0.30000000000000004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B2-422C-99D7-9161C5CE26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3531136"/>
        <c:axId val="233531520"/>
      </c:lineChart>
      <c:catAx>
        <c:axId val="233531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Question</a:t>
                </a:r>
                <a:r>
                  <a:rPr lang="en-US" baseline="0"/>
                  <a:t> Number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1520"/>
        <c:crosses val="autoZero"/>
        <c:auto val="1"/>
        <c:lblAlgn val="ctr"/>
        <c:lblOffset val="100"/>
        <c:noMultiLvlLbl val="0"/>
      </c:catAx>
      <c:valAx>
        <c:axId val="23353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percentage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531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536400</xdr:colOff>
      <xdr:row>2</xdr:row>
      <xdr:rowOff>20106</xdr:rowOff>
    </xdr:from>
    <xdr:to>
      <xdr:col>2</xdr:col>
      <xdr:colOff>1125893</xdr:colOff>
      <xdr:row>6</xdr:row>
      <xdr:rowOff>174163</xdr:rowOff>
    </xdr:to>
    <xdr:pic>
      <xdr:nvPicPr>
        <xdr:cNvPr id="4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9067" y="422273"/>
          <a:ext cx="1224493" cy="958390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3</xdr:col>
      <xdr:colOff>514170</xdr:colOff>
      <xdr:row>1</xdr:row>
      <xdr:rowOff>66673</xdr:rowOff>
    </xdr:from>
    <xdr:to>
      <xdr:col>7</xdr:col>
      <xdr:colOff>1931791</xdr:colOff>
      <xdr:row>10</xdr:row>
      <xdr:rowOff>116416</xdr:rowOff>
    </xdr:to>
    <xdr:sp macro="" textlink="">
      <xdr:nvSpPr>
        <xdr:cNvPr id="2" name="TextBox 1"/>
        <xdr:cNvSpPr txBox="1"/>
      </xdr:nvSpPr>
      <xdr:spPr>
        <a:xfrm>
          <a:off x="3837337" y="267756"/>
          <a:ext cx="6444704" cy="185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9</xdr:col>
      <xdr:colOff>532645</xdr:colOff>
      <xdr:row>2</xdr:row>
      <xdr:rowOff>201082</xdr:rowOff>
    </xdr:from>
    <xdr:to>
      <xdr:col>12</xdr:col>
      <xdr:colOff>57479</xdr:colOff>
      <xdr:row>5</xdr:row>
      <xdr:rowOff>182032</xdr:rowOff>
    </xdr:to>
    <xdr:pic>
      <xdr:nvPicPr>
        <xdr:cNvPr id="7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17302" y="603249"/>
          <a:ext cx="1839937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85725</xdr:colOff>
      <xdr:row>2</xdr:row>
      <xdr:rowOff>97367</xdr:rowOff>
    </xdr:from>
    <xdr:to>
      <xdr:col>2</xdr:col>
      <xdr:colOff>624418</xdr:colOff>
      <xdr:row>7</xdr:row>
      <xdr:rowOff>55632</xdr:rowOff>
    </xdr:to>
    <xdr:pic>
      <xdr:nvPicPr>
        <xdr:cNvPr id="2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525" y="497417"/>
          <a:ext cx="1224493" cy="958390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3</xdr:col>
      <xdr:colOff>908045</xdr:colOff>
      <xdr:row>0</xdr:row>
      <xdr:rowOff>152400</xdr:rowOff>
    </xdr:from>
    <xdr:to>
      <xdr:col>10</xdr:col>
      <xdr:colOff>85174</xdr:colOff>
      <xdr:row>10</xdr:row>
      <xdr:rowOff>11643</xdr:rowOff>
    </xdr:to>
    <xdr:sp macro="" textlink="">
      <xdr:nvSpPr>
        <xdr:cNvPr id="3" name="TextBox 2"/>
        <xdr:cNvSpPr txBox="1"/>
      </xdr:nvSpPr>
      <xdr:spPr>
        <a:xfrm>
          <a:off x="3127370" y="152400"/>
          <a:ext cx="6444704" cy="185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10</xdr:col>
      <xdr:colOff>652411</xdr:colOff>
      <xdr:row>3</xdr:row>
      <xdr:rowOff>106893</xdr:rowOff>
    </xdr:from>
    <xdr:to>
      <xdr:col>13</xdr:col>
      <xdr:colOff>200529</xdr:colOff>
      <xdr:row>6</xdr:row>
      <xdr:rowOff>91018</xdr:rowOff>
    </xdr:to>
    <xdr:pic>
      <xdr:nvPicPr>
        <xdr:cNvPr id="4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39311" y="706968"/>
          <a:ext cx="1853168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28575</xdr:colOff>
      <xdr:row>39</xdr:row>
      <xdr:rowOff>28575</xdr:rowOff>
    </xdr:from>
    <xdr:to>
      <xdr:col>14</xdr:col>
      <xdr:colOff>47625</xdr:colOff>
      <xdr:row>59</xdr:row>
      <xdr:rowOff>180975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628650</xdr:colOff>
      <xdr:row>2</xdr:row>
      <xdr:rowOff>183092</xdr:rowOff>
    </xdr:from>
    <xdr:to>
      <xdr:col>2</xdr:col>
      <xdr:colOff>481543</xdr:colOff>
      <xdr:row>7</xdr:row>
      <xdr:rowOff>141357</xdr:rowOff>
    </xdr:to>
    <xdr:pic>
      <xdr:nvPicPr>
        <xdr:cNvPr id="2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583142"/>
          <a:ext cx="1224493" cy="958390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4</xdr:col>
      <xdr:colOff>241295</xdr:colOff>
      <xdr:row>1</xdr:row>
      <xdr:rowOff>38100</xdr:rowOff>
    </xdr:from>
    <xdr:to>
      <xdr:col>13</xdr:col>
      <xdr:colOff>113749</xdr:colOff>
      <xdr:row>10</xdr:row>
      <xdr:rowOff>97368</xdr:rowOff>
    </xdr:to>
    <xdr:sp macro="" textlink="">
      <xdr:nvSpPr>
        <xdr:cNvPr id="3" name="TextBox 2"/>
        <xdr:cNvSpPr txBox="1"/>
      </xdr:nvSpPr>
      <xdr:spPr>
        <a:xfrm>
          <a:off x="2984495" y="238125"/>
          <a:ext cx="6444704" cy="185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14</xdr:col>
      <xdr:colOff>23761</xdr:colOff>
      <xdr:row>3</xdr:row>
      <xdr:rowOff>192618</xdr:rowOff>
    </xdr:from>
    <xdr:to>
      <xdr:col>16</xdr:col>
      <xdr:colOff>695829</xdr:colOff>
      <xdr:row>6</xdr:row>
      <xdr:rowOff>176743</xdr:rowOff>
    </xdr:to>
    <xdr:pic>
      <xdr:nvPicPr>
        <xdr:cNvPr id="4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96436" y="792693"/>
          <a:ext cx="1853168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676275</xdr:colOff>
      <xdr:row>3</xdr:row>
      <xdr:rowOff>2117</xdr:rowOff>
    </xdr:from>
    <xdr:to>
      <xdr:col>2</xdr:col>
      <xdr:colOff>529168</xdr:colOff>
      <xdr:row>8</xdr:row>
      <xdr:rowOff>55632</xdr:rowOff>
    </xdr:to>
    <xdr:pic>
      <xdr:nvPicPr>
        <xdr:cNvPr id="2" name="Picture 2" descr="NIPSOM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545042"/>
          <a:ext cx="1224493" cy="958390"/>
        </a:xfrm>
        <a:prstGeom prst="rect">
          <a:avLst/>
        </a:prstGeom>
        <a:noFill/>
        <a:extLst/>
      </xdr:spPr>
    </xdr:pic>
    <xdr:clientData/>
  </xdr:twoCellAnchor>
  <xdr:twoCellAnchor editAs="absolute">
    <xdr:from>
      <xdr:col>4</xdr:col>
      <xdr:colOff>288920</xdr:colOff>
      <xdr:row>1</xdr:row>
      <xdr:rowOff>19050</xdr:rowOff>
    </xdr:from>
    <xdr:to>
      <xdr:col>13</xdr:col>
      <xdr:colOff>170899</xdr:colOff>
      <xdr:row>11</xdr:row>
      <xdr:rowOff>68793</xdr:rowOff>
    </xdr:to>
    <xdr:sp macro="" textlink="">
      <xdr:nvSpPr>
        <xdr:cNvPr id="3" name="TextBox 2"/>
        <xdr:cNvSpPr txBox="1"/>
      </xdr:nvSpPr>
      <xdr:spPr>
        <a:xfrm>
          <a:off x="3032120" y="200025"/>
          <a:ext cx="6444704" cy="18594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দক্ষতামুখী পুষ্টি প্রশিক্ষণ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</a:t>
          </a:r>
          <a:r>
            <a:rPr lang="bn-BD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দীপশিখা</a:t>
          </a:r>
          <a:r>
            <a:rPr lang="en-US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sz="2000" b="1" i="0" u="none" strike="noStrike">
            <a:solidFill>
              <a:schemeClr val="dk1"/>
            </a:solidFill>
            <a:effectLst/>
            <a:latin typeface="Times New Roman" panose="02020603050405020304" pitchFamily="18" charset="0"/>
            <a:ea typeface="+mn-ea"/>
            <a:cs typeface="Times New Roman" panose="02020603050405020304" pitchFamily="18" charset="0"/>
          </a:endParaRPr>
        </a:p>
        <a:p>
          <a:pPr algn="ctr"/>
          <a:r>
            <a:rPr lang="en-US" sz="2200" b="1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Competency Based Training (CBT) in Nutrition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Agency: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United Nations Children’s Fund (UNICEF)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  <a:p>
          <a:pPr algn="ctr"/>
          <a:r>
            <a:rPr lang="en-US" sz="2200" b="1" i="1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Implementing Partner: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National Institute of Preventive </a:t>
          </a:r>
          <a:r>
            <a:rPr lang="en-US" sz="2200" b="0" i="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en-US" sz="2200" b="0" i="0" u="none" strike="noStrike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and Social Medicine (NIPSOM) </a:t>
          </a:r>
          <a:r>
            <a:rPr lang="en-US" sz="2200">
              <a:latin typeface="Times New Roman" panose="02020603050405020304" pitchFamily="18" charset="0"/>
              <a:cs typeface="Times New Roman" panose="02020603050405020304" pitchFamily="18" charset="0"/>
            </a:rPr>
            <a:t> </a:t>
          </a:r>
        </a:p>
      </xdr:txBody>
    </xdr:sp>
    <xdr:clientData/>
  </xdr:twoCellAnchor>
  <xdr:twoCellAnchor editAs="absolute">
    <xdr:from>
      <xdr:col>14</xdr:col>
      <xdr:colOff>52336</xdr:colOff>
      <xdr:row>4</xdr:row>
      <xdr:rowOff>30693</xdr:rowOff>
    </xdr:from>
    <xdr:to>
      <xdr:col>16</xdr:col>
      <xdr:colOff>533904</xdr:colOff>
      <xdr:row>7</xdr:row>
      <xdr:rowOff>71968</xdr:rowOff>
    </xdr:to>
    <xdr:pic>
      <xdr:nvPicPr>
        <xdr:cNvPr id="4" name="Picture 1" descr="UNICEF Logo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44061" y="754593"/>
          <a:ext cx="1853168" cy="584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133350</xdr:colOff>
          <xdr:row>21</xdr:row>
          <xdr:rowOff>133350</xdr:rowOff>
        </xdr:from>
        <xdr:to>
          <xdr:col>4</xdr:col>
          <xdr:colOff>352425</xdr:colOff>
          <xdr:row>23</xdr:row>
          <xdr:rowOff>114300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Blue Green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Times New Roman-Arial">
      <a:majorFont>
        <a:latin typeface="Times New Roman" panose="02020603050405020304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xtreme Shadow">
      <a: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48000">
              <a:schemeClr val="phClr">
                <a:tint val="54000"/>
                <a:satMod val="140000"/>
              </a:schemeClr>
            </a:gs>
            <a:gs pos="100000">
              <a:schemeClr val="phClr">
                <a:tint val="24000"/>
                <a:satMod val="260000"/>
              </a:schemeClr>
            </a:gs>
          </a:gsLst>
          <a:lin ang="1620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48000"/>
                <a:satMod val="180000"/>
                <a:lumMod val="94000"/>
              </a:schemeClr>
            </a:gs>
            <a:gs pos="100000">
              <a:schemeClr val="phClr">
                <a:shade val="48000"/>
                <a:satMod val="180000"/>
                <a:lumMod val="94000"/>
              </a:schemeClr>
            </a:gs>
          </a:gsLst>
          <a:lin ang="4140000" scaled="1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2857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12700" dir="5400000" sx="102000" sy="102000" rotWithShape="0">
              <a:srgbClr val="000000">
                <a:alpha val="32000"/>
              </a:srgbClr>
            </a:outerShdw>
          </a:effectLst>
        </a:effectStyle>
        <a:effectStyle>
          <a:effectLst>
            <a:outerShdw blurRad="762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19800000"/>
            </a:lightRig>
          </a:scene3d>
          <a:sp3d prstMaterial="plastic">
            <a:bevelT w="25400" h="19050"/>
          </a:sp3d>
        </a:effectStyle>
        <a:effectStyle>
          <a:effectLst>
            <a:outerShdw blurRad="114300" dist="114300" dir="5400000" rotWithShape="0">
              <a:srgbClr val="000000">
                <a:alpha val="7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plastic">
            <a:bevelT w="38100" h="3175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T72"/>
  <sheetViews>
    <sheetView showGridLines="0" showRowColHeaders="0" tabSelected="1" topLeftCell="A22" zoomScale="90" zoomScaleNormal="90" workbookViewId="0">
      <selection activeCell="E26" sqref="E26"/>
    </sheetView>
  </sheetViews>
  <sheetFormatPr defaultRowHeight="15.75" x14ac:dyDescent="0.2"/>
  <cols>
    <col min="1" max="1" width="7.75" style="34" customWidth="1"/>
    <col min="2" max="2" width="8.375" style="34" customWidth="1"/>
    <col min="3" max="3" width="27.5" style="34" customWidth="1"/>
    <col min="4" max="4" width="8" style="34" customWidth="1"/>
    <col min="5" max="5" width="11.125" style="34" customWidth="1"/>
    <col min="6" max="6" width="24.25" style="34" customWidth="1"/>
    <col min="7" max="7" width="22.5" style="34" customWidth="1"/>
    <col min="8" max="8" width="29.25" style="34" customWidth="1"/>
    <col min="9" max="9" width="20.75" style="34" hidden="1" customWidth="1"/>
    <col min="10" max="10" width="10.875" style="34" customWidth="1"/>
    <col min="11" max="11" width="10.5" style="34" customWidth="1"/>
    <col min="12" max="12" width="9.125" style="34" customWidth="1"/>
    <col min="13" max="14" width="9" style="34"/>
    <col min="15" max="15" width="14.5" style="34" customWidth="1"/>
    <col min="16" max="16384" width="9" style="34"/>
  </cols>
  <sheetData>
    <row r="4" spans="1:13" x14ac:dyDescent="0.2">
      <c r="G4" s="35"/>
    </row>
    <row r="5" spans="1:13" x14ac:dyDescent="0.2">
      <c r="G5" s="36"/>
    </row>
    <row r="6" spans="1:13" x14ac:dyDescent="0.2">
      <c r="G6" s="36"/>
    </row>
    <row r="10" spans="1:13" x14ac:dyDescent="0.2">
      <c r="M10" s="37"/>
    </row>
    <row r="11" spans="1:13" x14ac:dyDescent="0.2">
      <c r="M11" s="37"/>
    </row>
    <row r="13" spans="1:13" x14ac:dyDescent="0.2">
      <c r="A13" s="109" t="s">
        <v>0</v>
      </c>
      <c r="B13" s="110"/>
      <c r="C13" s="27"/>
      <c r="F13" s="28" t="s">
        <v>1</v>
      </c>
      <c r="G13" s="27"/>
      <c r="J13" s="38"/>
      <c r="K13" s="30" t="s">
        <v>136</v>
      </c>
      <c r="L13" s="30" t="s">
        <v>137</v>
      </c>
      <c r="M13" s="30" t="s">
        <v>135</v>
      </c>
    </row>
    <row r="14" spans="1:13" x14ac:dyDescent="0.2">
      <c r="A14" s="29"/>
      <c r="B14" s="29"/>
      <c r="F14" s="29"/>
      <c r="J14" s="39"/>
      <c r="K14" s="40"/>
      <c r="M14" s="41"/>
    </row>
    <row r="15" spans="1:13" x14ac:dyDescent="0.2">
      <c r="A15" s="109" t="s">
        <v>185</v>
      </c>
      <c r="B15" s="110"/>
      <c r="C15" s="27"/>
      <c r="F15" s="28" t="s">
        <v>108</v>
      </c>
      <c r="G15" s="52"/>
      <c r="J15" s="53" t="s">
        <v>103</v>
      </c>
      <c r="K15" s="103"/>
      <c r="L15" s="104"/>
      <c r="M15" s="104"/>
    </row>
    <row r="16" spans="1:13" x14ac:dyDescent="0.2">
      <c r="A16" s="29"/>
      <c r="B16" s="29"/>
      <c r="F16" s="29"/>
      <c r="J16" s="54"/>
      <c r="K16" s="42"/>
      <c r="L16" s="37"/>
      <c r="M16" s="43"/>
    </row>
    <row r="17" spans="1:13" x14ac:dyDescent="0.2">
      <c r="A17" s="109" t="s">
        <v>117</v>
      </c>
      <c r="B17" s="109"/>
      <c r="C17" s="27"/>
      <c r="F17" s="28" t="s">
        <v>150</v>
      </c>
      <c r="G17" s="27"/>
      <c r="H17" s="37"/>
      <c r="J17" s="53" t="s">
        <v>104</v>
      </c>
      <c r="K17" s="103"/>
      <c r="L17" s="104"/>
      <c r="M17" s="104"/>
    </row>
    <row r="18" spans="1:13" x14ac:dyDescent="0.2">
      <c r="J18" s="44"/>
      <c r="K18" s="45"/>
      <c r="L18" s="46"/>
      <c r="M18" s="47"/>
    </row>
    <row r="19" spans="1:13" x14ac:dyDescent="0.2">
      <c r="J19" s="37"/>
      <c r="K19" s="37"/>
      <c r="L19" s="37"/>
      <c r="M19" s="37"/>
    </row>
    <row r="20" spans="1:13" x14ac:dyDescent="0.2">
      <c r="J20" s="37"/>
      <c r="K20" s="37"/>
      <c r="L20" s="37"/>
      <c r="M20" s="37"/>
    </row>
    <row r="21" spans="1:13" x14ac:dyDescent="0.2">
      <c r="J21" s="37"/>
      <c r="K21" s="37"/>
      <c r="L21" s="37"/>
      <c r="M21" s="37"/>
    </row>
    <row r="22" spans="1:13" ht="25.5" x14ac:dyDescent="0.2">
      <c r="D22" s="111" t="s">
        <v>214</v>
      </c>
      <c r="E22" s="111"/>
      <c r="F22" s="111"/>
      <c r="G22" s="111"/>
      <c r="H22" s="111"/>
    </row>
    <row r="25" spans="1:13" x14ac:dyDescent="0.2">
      <c r="B25" s="31" t="s">
        <v>2</v>
      </c>
      <c r="C25" s="31" t="s">
        <v>3</v>
      </c>
      <c r="D25" s="31" t="s">
        <v>17</v>
      </c>
      <c r="E25" s="31" t="s">
        <v>4</v>
      </c>
      <c r="F25" s="31" t="s">
        <v>5</v>
      </c>
      <c r="G25" s="31" t="s">
        <v>6</v>
      </c>
      <c r="H25" s="31" t="s">
        <v>7</v>
      </c>
      <c r="I25" s="32" t="s">
        <v>146</v>
      </c>
      <c r="J25" s="31" t="s">
        <v>188</v>
      </c>
      <c r="K25" s="31" t="s">
        <v>189</v>
      </c>
      <c r="L25" s="31" t="s">
        <v>190</v>
      </c>
    </row>
    <row r="26" spans="1:13" x14ac:dyDescent="0.25">
      <c r="B26" s="30">
        <v>1</v>
      </c>
      <c r="C26" s="48"/>
      <c r="D26" s="27"/>
      <c r="E26" s="27"/>
      <c r="F26" s="48"/>
      <c r="G26" s="49"/>
      <c r="H26" s="83"/>
      <c r="I26" s="50" t="e">
        <f>VLOOKUP(E26,Designation!$B$2:$D$34,3,FALSE)</f>
        <v>#N/A</v>
      </c>
      <c r="J26" s="33"/>
      <c r="K26" s="33"/>
      <c r="L26" s="33"/>
    </row>
    <row r="27" spans="1:13" x14ac:dyDescent="0.25">
      <c r="B27" s="30">
        <v>2</v>
      </c>
      <c r="C27" s="48"/>
      <c r="D27" s="27"/>
      <c r="E27" s="27"/>
      <c r="F27" s="48"/>
      <c r="G27" s="49"/>
      <c r="H27" s="83"/>
      <c r="I27" s="50" t="e">
        <f>VLOOKUP(E27,Designation!$B$2:$D$34,3,FALSE)</f>
        <v>#N/A</v>
      </c>
      <c r="J27" s="33"/>
      <c r="K27" s="33"/>
      <c r="L27" s="33"/>
    </row>
    <row r="28" spans="1:13" x14ac:dyDescent="0.25">
      <c r="B28" s="30">
        <v>3</v>
      </c>
      <c r="C28" s="48"/>
      <c r="D28" s="27"/>
      <c r="E28" s="27"/>
      <c r="F28" s="48"/>
      <c r="G28" s="49"/>
      <c r="H28" s="83"/>
      <c r="I28" s="50" t="e">
        <f>VLOOKUP(E28,Designation!$B$2:$D$34,3,FALSE)</f>
        <v>#N/A</v>
      </c>
      <c r="J28" s="33"/>
      <c r="K28" s="33"/>
      <c r="L28" s="33"/>
    </row>
    <row r="29" spans="1:13" x14ac:dyDescent="0.25">
      <c r="B29" s="30">
        <v>4</v>
      </c>
      <c r="C29" s="48"/>
      <c r="D29" s="27"/>
      <c r="E29" s="27"/>
      <c r="F29" s="48"/>
      <c r="G29" s="49"/>
      <c r="H29" s="83"/>
      <c r="I29" s="50" t="e">
        <f>VLOOKUP(E29,Designation!$B$2:$D$34,3,FALSE)</f>
        <v>#N/A</v>
      </c>
      <c r="J29" s="33"/>
      <c r="K29" s="33"/>
      <c r="L29" s="33"/>
    </row>
    <row r="30" spans="1:13" x14ac:dyDescent="0.25">
      <c r="B30" s="30">
        <v>5</v>
      </c>
      <c r="C30" s="48"/>
      <c r="D30" s="27"/>
      <c r="E30" s="27"/>
      <c r="F30" s="48"/>
      <c r="G30" s="49"/>
      <c r="H30" s="83"/>
      <c r="I30" s="50" t="e">
        <f>VLOOKUP(E30,Designation!$B$2:$D$34,3,FALSE)</f>
        <v>#N/A</v>
      </c>
      <c r="J30" s="33"/>
      <c r="K30" s="33"/>
      <c r="L30" s="33"/>
    </row>
    <row r="31" spans="1:13" x14ac:dyDescent="0.25">
      <c r="B31" s="30">
        <v>6</v>
      </c>
      <c r="C31" s="48"/>
      <c r="D31" s="27"/>
      <c r="E31" s="27"/>
      <c r="F31" s="48"/>
      <c r="G31" s="49"/>
      <c r="H31" s="83"/>
      <c r="I31" s="50" t="e">
        <f>VLOOKUP(E31,Designation!$B$2:$D$34,3,FALSE)</f>
        <v>#N/A</v>
      </c>
      <c r="J31" s="33"/>
      <c r="K31" s="33"/>
      <c r="L31" s="33"/>
    </row>
    <row r="32" spans="1:13" x14ac:dyDescent="0.25">
      <c r="B32" s="30">
        <v>7</v>
      </c>
      <c r="C32" s="48"/>
      <c r="D32" s="27"/>
      <c r="E32" s="27"/>
      <c r="F32" s="48"/>
      <c r="G32" s="49"/>
      <c r="H32" s="83"/>
      <c r="I32" s="50" t="e">
        <f>VLOOKUP(E32,Designation!$B$2:$D$34,3,FALSE)</f>
        <v>#N/A</v>
      </c>
      <c r="J32" s="33"/>
      <c r="K32" s="33"/>
      <c r="L32" s="33"/>
    </row>
    <row r="33" spans="2:15" x14ac:dyDescent="0.25">
      <c r="B33" s="30">
        <v>8</v>
      </c>
      <c r="C33" s="48"/>
      <c r="D33" s="27"/>
      <c r="E33" s="27"/>
      <c r="F33" s="48"/>
      <c r="G33" s="49"/>
      <c r="H33" s="83"/>
      <c r="I33" s="50" t="e">
        <f>VLOOKUP(E33,Designation!$B$2:$D$34,3,FALSE)</f>
        <v>#N/A</v>
      </c>
      <c r="J33" s="33"/>
      <c r="K33" s="33"/>
      <c r="L33" s="33"/>
    </row>
    <row r="34" spans="2:15" x14ac:dyDescent="0.25">
      <c r="B34" s="30">
        <v>9</v>
      </c>
      <c r="C34" s="48"/>
      <c r="D34" s="27"/>
      <c r="E34" s="27"/>
      <c r="F34" s="48"/>
      <c r="G34" s="49"/>
      <c r="H34" s="83"/>
      <c r="I34" s="50" t="e">
        <f>VLOOKUP(E34,Designation!$B$2:$D$34,3,FALSE)</f>
        <v>#N/A</v>
      </c>
      <c r="J34" s="33"/>
      <c r="K34" s="33"/>
      <c r="L34" s="33"/>
    </row>
    <row r="35" spans="2:15" x14ac:dyDescent="0.25">
      <c r="B35" s="30">
        <v>10</v>
      </c>
      <c r="C35" s="48"/>
      <c r="D35" s="27"/>
      <c r="E35" s="27"/>
      <c r="F35" s="48"/>
      <c r="G35" s="49"/>
      <c r="H35" s="83"/>
      <c r="I35" s="50" t="e">
        <f>VLOOKUP(E35,Designation!$B$2:$D$34,3,FALSE)</f>
        <v>#N/A</v>
      </c>
      <c r="J35" s="33"/>
      <c r="K35" s="33"/>
      <c r="L35" s="33"/>
      <c r="O35" s="37"/>
    </row>
    <row r="36" spans="2:15" x14ac:dyDescent="0.25">
      <c r="B36" s="30">
        <v>11</v>
      </c>
      <c r="C36" s="48"/>
      <c r="D36" s="27"/>
      <c r="E36" s="27"/>
      <c r="F36" s="48"/>
      <c r="G36" s="49"/>
      <c r="H36" s="83"/>
      <c r="I36" s="50" t="e">
        <f>VLOOKUP(E36,Designation!$B$2:$D$34,3,FALSE)</f>
        <v>#N/A</v>
      </c>
      <c r="J36" s="33"/>
      <c r="K36" s="33"/>
      <c r="L36" s="33"/>
      <c r="O36" s="37"/>
    </row>
    <row r="37" spans="2:15" x14ac:dyDescent="0.25">
      <c r="B37" s="30">
        <v>12</v>
      </c>
      <c r="C37" s="48"/>
      <c r="D37" s="27"/>
      <c r="E37" s="27"/>
      <c r="F37" s="48"/>
      <c r="G37" s="49"/>
      <c r="H37" s="83"/>
      <c r="I37" s="50" t="e">
        <f>VLOOKUP(E37,Designation!$B$2:$D$34,3,FALSE)</f>
        <v>#N/A</v>
      </c>
      <c r="J37" s="33"/>
      <c r="K37" s="33"/>
      <c r="L37" s="33"/>
      <c r="O37" s="37"/>
    </row>
    <row r="38" spans="2:15" x14ac:dyDescent="0.25">
      <c r="B38" s="30">
        <v>13</v>
      </c>
      <c r="C38" s="48"/>
      <c r="D38" s="27"/>
      <c r="E38" s="27"/>
      <c r="F38" s="48"/>
      <c r="G38" s="49"/>
      <c r="H38" s="83"/>
      <c r="I38" s="50" t="e">
        <f>VLOOKUP(E38,Designation!$B$2:$D$34,3,FALSE)</f>
        <v>#N/A</v>
      </c>
      <c r="J38" s="33"/>
      <c r="K38" s="33"/>
      <c r="L38" s="33"/>
      <c r="O38" s="37"/>
    </row>
    <row r="39" spans="2:15" x14ac:dyDescent="0.25">
      <c r="B39" s="30">
        <v>14</v>
      </c>
      <c r="C39" s="48"/>
      <c r="D39" s="27"/>
      <c r="E39" s="27"/>
      <c r="F39" s="48"/>
      <c r="G39" s="49"/>
      <c r="H39" s="83"/>
      <c r="I39" s="50" t="e">
        <f>VLOOKUP(E39,Designation!$B$2:$D$34,3,FALSE)</f>
        <v>#N/A</v>
      </c>
      <c r="J39" s="33"/>
      <c r="K39" s="33"/>
      <c r="L39" s="33"/>
      <c r="O39" s="37"/>
    </row>
    <row r="40" spans="2:15" x14ac:dyDescent="0.25">
      <c r="B40" s="30">
        <v>15</v>
      </c>
      <c r="C40" s="48"/>
      <c r="D40" s="27"/>
      <c r="E40" s="27"/>
      <c r="F40" s="48"/>
      <c r="G40" s="49"/>
      <c r="H40" s="83"/>
      <c r="I40" s="50" t="e">
        <f>VLOOKUP(E40,Designation!$B$2:$D$34,3,FALSE)</f>
        <v>#N/A</v>
      </c>
      <c r="J40" s="33"/>
      <c r="K40" s="33"/>
      <c r="L40" s="33"/>
    </row>
    <row r="41" spans="2:15" x14ac:dyDescent="0.25">
      <c r="B41" s="30">
        <v>16</v>
      </c>
      <c r="C41" s="48"/>
      <c r="D41" s="27"/>
      <c r="E41" s="27"/>
      <c r="F41" s="48"/>
      <c r="G41" s="49"/>
      <c r="H41" s="83"/>
      <c r="I41" s="50" t="e">
        <f>VLOOKUP(E41,Designation!$B$2:$D$34,3,FALSE)</f>
        <v>#N/A</v>
      </c>
      <c r="J41" s="33"/>
      <c r="K41" s="33"/>
      <c r="L41" s="33"/>
    </row>
    <row r="42" spans="2:15" x14ac:dyDescent="0.25">
      <c r="B42" s="30">
        <v>17</v>
      </c>
      <c r="C42" s="48"/>
      <c r="D42" s="27"/>
      <c r="E42" s="27"/>
      <c r="F42" s="48"/>
      <c r="G42" s="49"/>
      <c r="H42" s="83"/>
      <c r="I42" s="50" t="e">
        <f>VLOOKUP(E42,Designation!$B$2:$D$34,3,FALSE)</f>
        <v>#N/A</v>
      </c>
      <c r="J42" s="33"/>
      <c r="K42" s="33"/>
      <c r="L42" s="33"/>
    </row>
    <row r="43" spans="2:15" x14ac:dyDescent="0.25">
      <c r="B43" s="30">
        <v>18</v>
      </c>
      <c r="C43" s="48"/>
      <c r="D43" s="27"/>
      <c r="E43" s="27"/>
      <c r="F43" s="48"/>
      <c r="G43" s="49"/>
      <c r="H43" s="83"/>
      <c r="I43" s="50" t="e">
        <f>VLOOKUP(E43,Designation!$B$2:$D$34,3,FALSE)</f>
        <v>#N/A</v>
      </c>
      <c r="J43" s="33"/>
      <c r="K43" s="33"/>
      <c r="L43" s="33"/>
    </row>
    <row r="44" spans="2:15" x14ac:dyDescent="0.25">
      <c r="B44" s="30">
        <v>19</v>
      </c>
      <c r="C44" s="48"/>
      <c r="D44" s="27"/>
      <c r="E44" s="27"/>
      <c r="F44" s="48"/>
      <c r="G44" s="49"/>
      <c r="H44" s="83"/>
      <c r="I44" s="50" t="e">
        <f>VLOOKUP(E44,Designation!$B$2:$D$34,3,FALSE)</f>
        <v>#N/A</v>
      </c>
      <c r="J44" s="33"/>
      <c r="K44" s="33"/>
      <c r="L44" s="33"/>
    </row>
    <row r="45" spans="2:15" x14ac:dyDescent="0.25">
      <c r="B45" s="30">
        <v>20</v>
      </c>
      <c r="C45" s="48"/>
      <c r="D45" s="27"/>
      <c r="E45" s="27"/>
      <c r="F45" s="48"/>
      <c r="G45" s="49"/>
      <c r="H45" s="83"/>
      <c r="I45" s="50" t="e">
        <f>VLOOKUP(E45,Designation!$B$2:$D$34,3,FALSE)</f>
        <v>#N/A</v>
      </c>
      <c r="J45" s="33"/>
      <c r="K45" s="33"/>
      <c r="L45" s="33"/>
    </row>
    <row r="46" spans="2:15" x14ac:dyDescent="0.25">
      <c r="B46" s="30">
        <v>21</v>
      </c>
      <c r="C46" s="48"/>
      <c r="D46" s="27"/>
      <c r="E46" s="27"/>
      <c r="F46" s="48"/>
      <c r="G46" s="49"/>
      <c r="H46" s="83"/>
      <c r="I46" s="50" t="e">
        <f>VLOOKUP(E46,Designation!$B$2:$D$34,3,FALSE)</f>
        <v>#N/A</v>
      </c>
      <c r="J46" s="33"/>
      <c r="K46" s="33"/>
      <c r="L46" s="33"/>
    </row>
    <row r="47" spans="2:15" x14ac:dyDescent="0.25">
      <c r="B47" s="30">
        <v>22</v>
      </c>
      <c r="C47" s="48"/>
      <c r="D47" s="27"/>
      <c r="E47" s="27"/>
      <c r="F47" s="48"/>
      <c r="G47" s="49"/>
      <c r="H47" s="83"/>
      <c r="I47" s="50" t="e">
        <f>VLOOKUP(E47,Designation!$B$2:$D$34,3,FALSE)</f>
        <v>#N/A</v>
      </c>
      <c r="J47" s="33"/>
      <c r="K47" s="33"/>
      <c r="L47" s="33"/>
    </row>
    <row r="48" spans="2:15" x14ac:dyDescent="0.25">
      <c r="B48" s="30">
        <v>23</v>
      </c>
      <c r="C48" s="48"/>
      <c r="D48" s="27"/>
      <c r="E48" s="27"/>
      <c r="F48" s="48"/>
      <c r="G48" s="49"/>
      <c r="H48" s="83"/>
      <c r="I48" s="50" t="e">
        <f>VLOOKUP(E48,Designation!$B$2:$D$34,3,FALSE)</f>
        <v>#N/A</v>
      </c>
      <c r="J48" s="33"/>
      <c r="K48" s="33"/>
      <c r="L48" s="33"/>
    </row>
    <row r="49" spans="2:12" x14ac:dyDescent="0.25">
      <c r="B49" s="30">
        <v>24</v>
      </c>
      <c r="C49" s="48"/>
      <c r="D49" s="27"/>
      <c r="E49" s="27"/>
      <c r="F49" s="48"/>
      <c r="G49" s="49"/>
      <c r="H49" s="83"/>
      <c r="I49" s="50" t="e">
        <f>VLOOKUP(E49,Designation!$B$2:$D$34,3,FALSE)</f>
        <v>#N/A</v>
      </c>
      <c r="J49" s="33"/>
      <c r="K49" s="33"/>
      <c r="L49" s="33"/>
    </row>
    <row r="50" spans="2:12" x14ac:dyDescent="0.25">
      <c r="B50" s="30">
        <v>25</v>
      </c>
      <c r="C50" s="48"/>
      <c r="D50" s="27"/>
      <c r="E50" s="27"/>
      <c r="F50" s="48"/>
      <c r="G50" s="49"/>
      <c r="H50" s="83"/>
      <c r="I50" s="50" t="e">
        <f>VLOOKUP(E50,Designation!$B$2:$D$34,3,FALSE)</f>
        <v>#N/A</v>
      </c>
      <c r="J50" s="33"/>
      <c r="K50" s="33"/>
      <c r="L50" s="33"/>
    </row>
    <row r="51" spans="2:12" x14ac:dyDescent="0.25">
      <c r="B51" s="30">
        <v>26</v>
      </c>
      <c r="C51" s="48"/>
      <c r="D51" s="27"/>
      <c r="E51" s="27"/>
      <c r="F51" s="48"/>
      <c r="G51" s="49"/>
      <c r="H51" s="83"/>
      <c r="I51" s="50" t="e">
        <f>VLOOKUP(E51,Designation!$B$2:$D$34,3,FALSE)</f>
        <v>#N/A</v>
      </c>
      <c r="J51" s="33"/>
      <c r="K51" s="33"/>
      <c r="L51" s="33"/>
    </row>
    <row r="52" spans="2:12" x14ac:dyDescent="0.25">
      <c r="B52" s="30">
        <v>27</v>
      </c>
      <c r="C52" s="48"/>
      <c r="D52" s="27"/>
      <c r="E52" s="27"/>
      <c r="F52" s="48"/>
      <c r="G52" s="49"/>
      <c r="H52" s="83"/>
      <c r="I52" s="50" t="e">
        <f>VLOOKUP(E52,Designation!$B$2:$D$34,3,FALSE)</f>
        <v>#N/A</v>
      </c>
      <c r="J52" s="33"/>
      <c r="K52" s="33"/>
      <c r="L52" s="33"/>
    </row>
    <row r="53" spans="2:12" x14ac:dyDescent="0.25">
      <c r="B53" s="30">
        <v>28</v>
      </c>
      <c r="C53" s="48"/>
      <c r="D53" s="27"/>
      <c r="E53" s="27"/>
      <c r="F53" s="48"/>
      <c r="G53" s="49"/>
      <c r="H53" s="83"/>
      <c r="I53" s="50" t="e">
        <f>VLOOKUP(E53,Designation!$B$2:$D$34,3,FALSE)</f>
        <v>#N/A</v>
      </c>
      <c r="J53" s="33"/>
      <c r="K53" s="33"/>
      <c r="L53" s="33"/>
    </row>
    <row r="54" spans="2:12" x14ac:dyDescent="0.25">
      <c r="B54" s="30">
        <v>29</v>
      </c>
      <c r="C54" s="48"/>
      <c r="D54" s="27"/>
      <c r="E54" s="27"/>
      <c r="F54" s="48"/>
      <c r="G54" s="49"/>
      <c r="H54" s="83"/>
      <c r="I54" s="50" t="e">
        <f>VLOOKUP(E54,Designation!$B$2:$D$34,3,FALSE)</f>
        <v>#N/A</v>
      </c>
      <c r="J54" s="33"/>
      <c r="K54" s="33"/>
      <c r="L54" s="33"/>
    </row>
    <row r="55" spans="2:12" x14ac:dyDescent="0.25">
      <c r="B55" s="30">
        <v>30</v>
      </c>
      <c r="C55" s="48"/>
      <c r="D55" s="27"/>
      <c r="E55" s="27"/>
      <c r="F55" s="48"/>
      <c r="G55" s="49"/>
      <c r="H55" s="83"/>
      <c r="I55" s="50" t="e">
        <f>VLOOKUP(E55,Designation!$B$2:$D$34,3,FALSE)</f>
        <v>#N/A</v>
      </c>
      <c r="J55" s="33"/>
      <c r="K55" s="33"/>
      <c r="L55" s="33"/>
    </row>
    <row r="56" spans="2:12" x14ac:dyDescent="0.25">
      <c r="B56" s="30">
        <v>31</v>
      </c>
      <c r="C56" s="48"/>
      <c r="D56" s="27"/>
      <c r="E56" s="27"/>
      <c r="F56" s="48"/>
      <c r="G56" s="49"/>
      <c r="H56" s="83"/>
      <c r="I56" s="50" t="e">
        <f>VLOOKUP(E56,Designation!$B$2:$D$34,3,FALSE)</f>
        <v>#N/A</v>
      </c>
      <c r="J56" s="33"/>
      <c r="K56" s="33"/>
      <c r="L56" s="33"/>
    </row>
    <row r="57" spans="2:12" x14ac:dyDescent="0.25">
      <c r="B57" s="30">
        <v>32</v>
      </c>
      <c r="C57" s="48"/>
      <c r="D57" s="27"/>
      <c r="E57" s="27"/>
      <c r="F57" s="48"/>
      <c r="G57" s="49"/>
      <c r="H57" s="83"/>
      <c r="I57" s="50" t="e">
        <f>VLOOKUP(E57,Designation!$B$2:$D$34,3,FALSE)</f>
        <v>#N/A</v>
      </c>
      <c r="J57" s="33"/>
      <c r="K57" s="33"/>
      <c r="L57" s="33"/>
    </row>
    <row r="58" spans="2:12" x14ac:dyDescent="0.25">
      <c r="B58" s="30">
        <v>33</v>
      </c>
      <c r="C58" s="48"/>
      <c r="D58" s="27"/>
      <c r="E58" s="27"/>
      <c r="F58" s="48"/>
      <c r="G58" s="49"/>
      <c r="H58" s="83"/>
      <c r="I58" s="50" t="e">
        <f>VLOOKUP(E58,Designation!$B$2:$D$34,3,FALSE)</f>
        <v>#N/A</v>
      </c>
      <c r="J58" s="33"/>
      <c r="K58" s="33"/>
      <c r="L58" s="33"/>
    </row>
    <row r="59" spans="2:12" x14ac:dyDescent="0.25">
      <c r="B59" s="30">
        <v>34</v>
      </c>
      <c r="C59" s="48"/>
      <c r="D59" s="27"/>
      <c r="E59" s="27"/>
      <c r="F59" s="48"/>
      <c r="G59" s="49"/>
      <c r="H59" s="83"/>
      <c r="I59" s="50" t="e">
        <f>VLOOKUP(E59,Designation!$B$2:$D$34,3,FALSE)</f>
        <v>#N/A</v>
      </c>
      <c r="J59" s="33"/>
      <c r="K59" s="33"/>
      <c r="L59" s="33"/>
    </row>
    <row r="60" spans="2:12" ht="15.75" customHeight="1" x14ac:dyDescent="0.25">
      <c r="B60" s="30">
        <v>35</v>
      </c>
      <c r="C60" s="48"/>
      <c r="D60" s="27"/>
      <c r="E60" s="27"/>
      <c r="F60" s="48"/>
      <c r="G60" s="49"/>
      <c r="H60" s="83"/>
      <c r="I60" s="50" t="e">
        <f>VLOOKUP(E60,Designation!$B$2:$D$34,3,FALSE)</f>
        <v>#N/A</v>
      </c>
      <c r="J60" s="33"/>
      <c r="K60" s="33"/>
      <c r="L60" s="33"/>
    </row>
    <row r="61" spans="2:12" ht="15.75" customHeight="1" x14ac:dyDescent="0.25">
      <c r="B61" s="30">
        <v>36</v>
      </c>
      <c r="C61" s="48"/>
      <c r="D61" s="27"/>
      <c r="E61" s="27"/>
      <c r="F61" s="48"/>
      <c r="G61" s="49"/>
      <c r="H61" s="83"/>
      <c r="I61" s="50" t="e">
        <f>VLOOKUP(E61,Designation!$B$2:$D$34,3,FALSE)</f>
        <v>#N/A</v>
      </c>
      <c r="J61" s="33"/>
      <c r="K61" s="33"/>
      <c r="L61" s="33"/>
    </row>
    <row r="62" spans="2:12" x14ac:dyDescent="0.25">
      <c r="B62" s="30">
        <v>37</v>
      </c>
      <c r="C62" s="48"/>
      <c r="D62" s="27"/>
      <c r="E62" s="27"/>
      <c r="F62" s="48"/>
      <c r="G62" s="49"/>
      <c r="H62" s="83"/>
      <c r="I62" s="50" t="e">
        <f>VLOOKUP(E62,Designation!$B$2:$D$34,3,FALSE)</f>
        <v>#N/A</v>
      </c>
      <c r="J62" s="33"/>
      <c r="K62" s="33"/>
      <c r="L62" s="33"/>
    </row>
    <row r="63" spans="2:12" x14ac:dyDescent="0.25">
      <c r="B63" s="30">
        <v>38</v>
      </c>
      <c r="C63" s="48"/>
      <c r="D63" s="27"/>
      <c r="E63" s="27"/>
      <c r="F63" s="48"/>
      <c r="G63" s="49"/>
      <c r="H63" s="83"/>
      <c r="I63" s="50" t="e">
        <f>VLOOKUP(E63,Designation!$B$2:$D$34,3,FALSE)</f>
        <v>#N/A</v>
      </c>
      <c r="J63" s="33"/>
      <c r="K63" s="33"/>
      <c r="L63" s="33"/>
    </row>
    <row r="64" spans="2:12" x14ac:dyDescent="0.25">
      <c r="B64" s="30">
        <v>39</v>
      </c>
      <c r="C64" s="48"/>
      <c r="D64" s="27"/>
      <c r="E64" s="27"/>
      <c r="F64" s="48"/>
      <c r="G64" s="49"/>
      <c r="H64" s="83"/>
      <c r="I64" s="50" t="e">
        <f>VLOOKUP(E64,Designation!$B$2:$D$34,3,FALSE)</f>
        <v>#N/A</v>
      </c>
      <c r="J64" s="33"/>
      <c r="K64" s="33"/>
      <c r="L64" s="33"/>
    </row>
    <row r="65" spans="1:20" x14ac:dyDescent="0.25">
      <c r="B65" s="30">
        <v>40</v>
      </c>
      <c r="C65" s="48"/>
      <c r="D65" s="27"/>
      <c r="E65" s="27"/>
      <c r="F65" s="48"/>
      <c r="G65" s="49"/>
      <c r="H65" s="83"/>
      <c r="I65" s="50" t="e">
        <f>VLOOKUP(E65,Designation!$B$2:$D$34,3,FALSE)</f>
        <v>#N/A</v>
      </c>
      <c r="J65" s="33"/>
      <c r="K65" s="33"/>
      <c r="L65" s="33"/>
      <c r="M65" s="37"/>
    </row>
    <row r="68" spans="1:20" x14ac:dyDescent="0.2">
      <c r="G68" s="51"/>
      <c r="H68" s="37"/>
      <c r="I68" s="37"/>
    </row>
    <row r="69" spans="1:20" x14ac:dyDescent="0.2">
      <c r="G69" s="37"/>
      <c r="H69" s="112"/>
      <c r="I69" s="112"/>
    </row>
    <row r="70" spans="1:20" x14ac:dyDescent="0.2">
      <c r="G70" s="51"/>
      <c r="H70" s="37"/>
      <c r="I70" s="37"/>
    </row>
    <row r="72" spans="1:20" x14ac:dyDescent="0.2">
      <c r="A72" s="46"/>
      <c r="B72" s="46"/>
      <c r="C72" s="46"/>
      <c r="D72" s="46"/>
      <c r="E72" s="46"/>
      <c r="F72" s="46"/>
      <c r="G72" s="46"/>
      <c r="H72" s="108"/>
      <c r="I72" s="107"/>
      <c r="J72" s="106" t="s">
        <v>325</v>
      </c>
      <c r="K72" s="46"/>
      <c r="L72" s="46"/>
      <c r="M72" s="46"/>
      <c r="N72" s="46"/>
      <c r="O72" s="46"/>
      <c r="P72" s="46"/>
      <c r="Q72" s="46"/>
      <c r="R72" s="46"/>
      <c r="S72" s="46"/>
      <c r="T72" s="46"/>
    </row>
  </sheetData>
  <sheetProtection algorithmName="SHA-512" hashValue="Ir265z2ZanEui2sPU2wNUI6o4USfzKlUrsnBkznt4V/nfVPQpYeDRfnTFyw/mv1u8Rdvgb5Y1n82F2B3Z77E0g==" saltValue="HiQoz9aRL/qR/otmVEHpPw==" spinCount="100000" sheet="1" objects="1" scenarios="1"/>
  <mergeCells count="5">
    <mergeCell ref="A13:B13"/>
    <mergeCell ref="A15:B15"/>
    <mergeCell ref="D22:H22"/>
    <mergeCell ref="H69:I69"/>
    <mergeCell ref="A17:B17"/>
  </mergeCells>
  <conditionalFormatting sqref="J26:L65">
    <cfRule type="cellIs" dxfId="3" priority="3" operator="equal">
      <formula>#REF!</formula>
    </cfRule>
    <cfRule type="cellIs" dxfId="2" priority="4" operator="equal">
      <formula>#REF!</formula>
    </cfRule>
  </conditionalFormatting>
  <dataValidations count="8">
    <dataValidation type="list" allowBlank="1" showInputMessage="1" showErrorMessage="1" promptTitle="Gender" prompt="Select gender of the trainee from the dropdown list" sqref="D26:D65">
      <formula1>"Male, Female"</formula1>
    </dataValidation>
    <dataValidation allowBlank="1" showInputMessage="1" showErrorMessage="1" promptTitle="Supervisor" prompt="Do not put any values here._x000a_This is set autmatically." sqref="I26:I65"/>
    <dataValidation type="whole" allowBlank="1" showInputMessage="1" showErrorMessage="1" promptTitle="Batch No" prompt="Put the batch number here" sqref="G15">
      <formula1>1</formula1>
      <formula2>100</formula2>
    </dataValidation>
    <dataValidation allowBlank="1" showInputMessage="1" showErrorMessage="1" promptTitle="Start Date" prompt="Select Day, Month, Year from their respective dropdown lists" sqref="J15"/>
    <dataValidation allowBlank="1" showInputMessage="1" showErrorMessage="1" promptTitle="End Date" prompt="Select Day, Month, Year from their respective dropdown lists" sqref="J17"/>
    <dataValidation type="list" allowBlank="1" showInputMessage="1" showErrorMessage="1" promptTitle="District" prompt="Select District from the dropdown list" sqref="C13">
      <formula1>District</formula1>
    </dataValidation>
    <dataValidation allowBlank="1" showInputMessage="1" showErrorMessage="1" promptTitle="Venue" prompt="Put name of the training venue here" sqref="C17"/>
    <dataValidation type="list" allowBlank="1" showInputMessage="1" showErrorMessage="1" promptTitle="Designation" prompt="Selection designation of the trainee from the dropdown list" sqref="E26:E65">
      <formula1>Designation</formula1>
    </dataValidation>
  </dataValidations>
  <pageMargins left="0.7" right="0.7" top="0.75" bottom="0.75" header="0.3" footer="0.3"/>
  <pageSetup paperSize="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7AF281F7-010A-4CA2-B619-656429C1A63D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M65</xm:sqref>
        </x14:conditionalFormatting>
        <x14:conditionalFormatting xmlns:xm="http://schemas.microsoft.com/office/excel/2006/main">
          <x14:cfRule type="cellIs" priority="1" operator="equal" id="{767F58D7-7A48-47FA-9FC3-29D6F2C061BE}">
            <xm:f>TrainingVenue!$H$20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14:cfRule type="cellIs" priority="2" operator="equal" id="{CE3735EE-4A5F-43EE-85AE-1002ABBA477B}">
            <xm:f>TrainingVenue!$G$20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J26:L65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Module" prompt="Select Module from the dropdown list">
          <x14:formula1>
            <xm:f>TrainingVenue!$A$20:$A$21</xm:f>
          </x14:formula1>
          <xm:sqref>G13</xm:sqref>
        </x14:dataValidation>
        <x14:dataValidation type="list" allowBlank="1" showInputMessage="1" showErrorMessage="1" promptTitle="Upazila" prompt="Select Upazila from the dropdown list">
          <x14:formula1>
            <xm:f>TrainingVenue!$C$15:$S$15</xm:f>
          </x14:formula1>
          <xm:sqref>C15</xm:sqref>
        </x14:dataValidation>
        <x14:dataValidation type="list" allowBlank="1" showInputMessage="1" showErrorMessage="1" promptTitle="Group ID" prompt="Select Group ID from the dropdown list">
          <x14:formula1>
            <xm:f>DTGroup!$B$2:$B$21</xm:f>
          </x14:formula1>
          <xm:sqref>G17</xm:sqref>
        </x14:dataValidation>
        <x14:dataValidation type="list" allowBlank="1" showInputMessage="1" showErrorMessage="1">
          <x14:formula1>
            <xm:f>TrainingVenue!$G$20:$H$20</xm:f>
          </x14:formula1>
          <xm:sqref>J26:L65</xm:sqref>
        </x14:dataValidation>
        <x14:dataValidation type="list" operator="greaterThan" allowBlank="1" showInputMessage="1" showErrorMessage="1">
          <x14:formula1>
            <xm:f>Date!$B$2:$B$32</xm:f>
          </x14:formula1>
          <xm:sqref>K15</xm:sqref>
        </x14:dataValidation>
        <x14:dataValidation type="list" operator="greaterThan" allowBlank="1" showInputMessage="1" showErrorMessage="1">
          <x14:formula1>
            <xm:f>Date!$B$2:$B$32</xm:f>
          </x14:formula1>
          <xm:sqref>K17</xm:sqref>
        </x14:dataValidation>
        <x14:dataValidation type="list" allowBlank="1" showInputMessage="1" showErrorMessage="1">
          <x14:formula1>
            <xm:f>Date!$A$2:$A$13</xm:f>
          </x14:formula1>
          <xm:sqref>L15</xm:sqref>
        </x14:dataValidation>
        <x14:dataValidation type="list" allowBlank="1" showInputMessage="1" showErrorMessage="1">
          <x14:formula1>
            <xm:f>Date!$A$2:$A$13</xm:f>
          </x14:formula1>
          <xm:sqref>L17</xm:sqref>
        </x14:dataValidation>
        <x14:dataValidation type="list" allowBlank="1" showInputMessage="1" showErrorMessage="1">
          <x14:formula1>
            <xm:f>Date!$C$2:$C$3</xm:f>
          </x14:formula1>
          <xm:sqref>M15</xm:sqref>
        </x14:dataValidation>
        <x14:dataValidation type="list" allowBlank="1" showInputMessage="1" showErrorMessage="1">
          <x14:formula1>
            <xm:f>Date!$C$2:$C$3</xm:f>
          </x14:formula1>
          <xm:sqref>M17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S26"/>
  <sheetViews>
    <sheetView workbookViewId="0">
      <selection activeCell="D9" sqref="D9:J9"/>
    </sheetView>
  </sheetViews>
  <sheetFormatPr defaultRowHeight="15.75" x14ac:dyDescent="0.25"/>
  <cols>
    <col min="1" max="1" width="15.625" style="92" bestFit="1" customWidth="1"/>
    <col min="2" max="2" width="12" style="92" bestFit="1" customWidth="1"/>
    <col min="3" max="3" width="8.5" style="92" bestFit="1" customWidth="1"/>
    <col min="4" max="4" width="9.375" style="92" bestFit="1" customWidth="1"/>
    <col min="5" max="5" width="20.75" style="92" bestFit="1" customWidth="1"/>
    <col min="6" max="6" width="10.75" style="92" bestFit="1" customWidth="1"/>
    <col min="7" max="7" width="12.375" style="92" bestFit="1" customWidth="1"/>
    <col min="8" max="8" width="15.375" style="92" bestFit="1" customWidth="1"/>
    <col min="9" max="9" width="18.75" style="92" bestFit="1" customWidth="1"/>
    <col min="10" max="10" width="16.625" style="92" bestFit="1" customWidth="1"/>
    <col min="11" max="11" width="9.125" style="92" bestFit="1" customWidth="1"/>
    <col min="12" max="12" width="8.375" style="92" bestFit="1" customWidth="1"/>
    <col min="13" max="13" width="6.375" style="92" bestFit="1" customWidth="1"/>
    <col min="14" max="14" width="7.75" style="92" bestFit="1" customWidth="1"/>
    <col min="15" max="15" width="7" style="92" bestFit="1" customWidth="1"/>
    <col min="16" max="16" width="11.125" style="92" bestFit="1" customWidth="1"/>
    <col min="17" max="17" width="10.125" style="92" bestFit="1" customWidth="1"/>
    <col min="18" max="18" width="8.875" style="92" bestFit="1" customWidth="1"/>
    <col min="19" max="19" width="5.25" style="92" bestFit="1" customWidth="1"/>
    <col min="20" max="16384" width="9" style="92"/>
  </cols>
  <sheetData>
    <row r="1" spans="1:19" x14ac:dyDescent="0.25">
      <c r="A1" s="95" t="s">
        <v>9</v>
      </c>
      <c r="B1" s="95" t="s">
        <v>110</v>
      </c>
      <c r="C1" s="95">
        <v>1</v>
      </c>
      <c r="D1" s="95">
        <v>2</v>
      </c>
      <c r="E1" s="95">
        <v>3</v>
      </c>
      <c r="F1" s="95">
        <v>4</v>
      </c>
      <c r="G1" s="95">
        <v>5</v>
      </c>
      <c r="H1" s="95">
        <v>6</v>
      </c>
      <c r="I1" s="95">
        <v>7</v>
      </c>
      <c r="J1" s="95">
        <v>8</v>
      </c>
      <c r="K1" s="95">
        <v>9</v>
      </c>
      <c r="L1" s="95">
        <v>10</v>
      </c>
      <c r="M1" s="95">
        <v>11</v>
      </c>
      <c r="N1" s="95">
        <v>12</v>
      </c>
      <c r="O1" s="95">
        <v>13</v>
      </c>
      <c r="P1" s="95">
        <v>14</v>
      </c>
      <c r="Q1" s="95">
        <v>15</v>
      </c>
      <c r="R1" s="95">
        <v>16</v>
      </c>
      <c r="S1" s="95">
        <v>17</v>
      </c>
    </row>
    <row r="2" spans="1:19" x14ac:dyDescent="0.25">
      <c r="A2" s="93" t="s">
        <v>11</v>
      </c>
      <c r="B2" s="94" t="s">
        <v>111</v>
      </c>
      <c r="C2" s="94" t="s">
        <v>73</v>
      </c>
      <c r="D2" s="94" t="s">
        <v>84</v>
      </c>
      <c r="E2" s="94" t="s">
        <v>85</v>
      </c>
      <c r="F2" s="94" t="s">
        <v>78</v>
      </c>
      <c r="G2" s="94" t="s">
        <v>203</v>
      </c>
      <c r="H2" s="94" t="s">
        <v>86</v>
      </c>
      <c r="I2" s="94" t="e">
        <v>#N/A</v>
      </c>
      <c r="J2" s="94" t="e">
        <v>#N/A</v>
      </c>
      <c r="K2" s="94" t="e">
        <v>#N/A</v>
      </c>
      <c r="L2" s="94" t="e">
        <v>#N/A</v>
      </c>
      <c r="M2" s="94" t="e">
        <v>#N/A</v>
      </c>
      <c r="N2" s="94" t="e">
        <v>#N/A</v>
      </c>
      <c r="O2" s="94" t="e">
        <v>#N/A</v>
      </c>
      <c r="P2" s="94" t="e">
        <v>#N/A</v>
      </c>
      <c r="Q2" s="94" t="e">
        <v>#N/A</v>
      </c>
      <c r="R2" s="94" t="e">
        <v>#N/A</v>
      </c>
      <c r="S2" s="94" t="e">
        <v>#N/A</v>
      </c>
    </row>
    <row r="3" spans="1:19" x14ac:dyDescent="0.25">
      <c r="A3" s="93" t="s">
        <v>12</v>
      </c>
      <c r="B3" s="94" t="s">
        <v>112</v>
      </c>
      <c r="C3" s="94" t="s">
        <v>73</v>
      </c>
      <c r="D3" s="94" t="s">
        <v>79</v>
      </c>
      <c r="E3" s="94" t="s">
        <v>81</v>
      </c>
      <c r="F3" s="94" t="s">
        <v>80</v>
      </c>
      <c r="G3" s="94" t="s">
        <v>82</v>
      </c>
      <c r="H3" s="94" t="e">
        <v>#N/A</v>
      </c>
      <c r="I3" s="94" t="e">
        <v>#N/A</v>
      </c>
      <c r="J3" s="94" t="e">
        <v>#N/A</v>
      </c>
      <c r="K3" s="94" t="e">
        <v>#N/A</v>
      </c>
      <c r="L3" s="94" t="e">
        <v>#N/A</v>
      </c>
      <c r="M3" s="94" t="e">
        <v>#N/A</v>
      </c>
      <c r="N3" s="94" t="e">
        <v>#N/A</v>
      </c>
      <c r="O3" s="94" t="e">
        <v>#N/A</v>
      </c>
      <c r="P3" s="94" t="e">
        <v>#N/A</v>
      </c>
      <c r="Q3" s="94" t="e">
        <v>#N/A</v>
      </c>
      <c r="R3" s="94" t="e">
        <v>#N/A</v>
      </c>
      <c r="S3" s="94" t="e">
        <v>#N/A</v>
      </c>
    </row>
    <row r="4" spans="1:19" x14ac:dyDescent="0.25">
      <c r="A4" s="1" t="s">
        <v>247</v>
      </c>
      <c r="B4" s="94" t="s">
        <v>251</v>
      </c>
      <c r="C4" s="94" t="s">
        <v>73</v>
      </c>
      <c r="D4" s="94" t="s">
        <v>260</v>
      </c>
      <c r="E4" s="94" t="s">
        <v>261</v>
      </c>
      <c r="F4" s="94" t="s">
        <v>262</v>
      </c>
      <c r="G4" s="94" t="s">
        <v>264</v>
      </c>
      <c r="H4" s="94" t="s">
        <v>263</v>
      </c>
      <c r="I4" s="94" t="s">
        <v>253</v>
      </c>
      <c r="J4" s="94" t="s">
        <v>255</v>
      </c>
      <c r="K4" s="94" t="s">
        <v>265</v>
      </c>
      <c r="L4" s="94" t="s">
        <v>266</v>
      </c>
      <c r="M4" s="94" t="s">
        <v>267</v>
      </c>
      <c r="N4" s="94" t="s">
        <v>268</v>
      </c>
      <c r="O4" s="94" t="s">
        <v>258</v>
      </c>
      <c r="P4" s="94" t="s">
        <v>256</v>
      </c>
      <c r="Q4" s="94" t="s">
        <v>254</v>
      </c>
      <c r="R4" s="94" t="s">
        <v>259</v>
      </c>
      <c r="S4" s="94" t="s">
        <v>257</v>
      </c>
    </row>
    <row r="5" spans="1:19" x14ac:dyDescent="0.25">
      <c r="A5" s="93" t="s">
        <v>13</v>
      </c>
      <c r="B5" s="94" t="s">
        <v>113</v>
      </c>
      <c r="C5" s="94" t="s">
        <v>73</v>
      </c>
      <c r="D5" s="94" t="s">
        <v>89</v>
      </c>
      <c r="E5" s="94" t="s">
        <v>87</v>
      </c>
      <c r="F5" s="94" t="s">
        <v>88</v>
      </c>
      <c r="G5" s="94" t="s">
        <v>205</v>
      </c>
      <c r="H5" s="94" t="s">
        <v>92</v>
      </c>
      <c r="I5" s="94" t="s">
        <v>204</v>
      </c>
      <c r="J5" s="94" t="s">
        <v>90</v>
      </c>
      <c r="K5" s="94" t="s">
        <v>91</v>
      </c>
      <c r="L5" s="94" t="s">
        <v>93</v>
      </c>
      <c r="M5" s="94" t="e">
        <v>#N/A</v>
      </c>
      <c r="N5" s="94" t="e">
        <v>#N/A</v>
      </c>
      <c r="O5" s="94" t="e">
        <v>#N/A</v>
      </c>
      <c r="P5" s="94" t="e">
        <v>#N/A</v>
      </c>
      <c r="Q5" s="94" t="e">
        <v>#N/A</v>
      </c>
      <c r="R5" s="94" t="e">
        <v>#N/A</v>
      </c>
      <c r="S5" s="94" t="e">
        <v>#N/A</v>
      </c>
    </row>
    <row r="6" spans="1:19" x14ac:dyDescent="0.25">
      <c r="A6" s="1" t="s">
        <v>248</v>
      </c>
      <c r="B6" s="94" t="s">
        <v>14</v>
      </c>
      <c r="C6" s="94" t="s">
        <v>73</v>
      </c>
      <c r="D6" s="94" t="s">
        <v>281</v>
      </c>
      <c r="E6" s="94" t="s">
        <v>276</v>
      </c>
      <c r="F6" s="94" t="s">
        <v>280</v>
      </c>
      <c r="G6" s="94" t="s">
        <v>279</v>
      </c>
      <c r="H6" s="94" t="s">
        <v>275</v>
      </c>
      <c r="I6" s="94" t="s">
        <v>277</v>
      </c>
      <c r="J6" s="94" t="s">
        <v>282</v>
      </c>
      <c r="K6" s="94" t="s">
        <v>278</v>
      </c>
      <c r="L6" s="94" t="e">
        <v>#N/A</v>
      </c>
      <c r="M6" s="94" t="e">
        <v>#N/A</v>
      </c>
      <c r="N6" s="94" t="e">
        <v>#N/A</v>
      </c>
      <c r="O6" s="94" t="e">
        <v>#N/A</v>
      </c>
      <c r="P6" s="94" t="e">
        <v>#N/A</v>
      </c>
      <c r="Q6" s="94" t="e">
        <v>#N/A</v>
      </c>
      <c r="R6" s="94" t="e">
        <v>#N/A</v>
      </c>
      <c r="S6" s="94" t="e">
        <v>#N/A</v>
      </c>
    </row>
    <row r="7" spans="1:19" x14ac:dyDescent="0.25">
      <c r="A7" s="93" t="s">
        <v>15</v>
      </c>
      <c r="B7" s="94" t="s">
        <v>114</v>
      </c>
      <c r="C7" s="94" t="s">
        <v>73</v>
      </c>
      <c r="D7" s="94" t="s">
        <v>97</v>
      </c>
      <c r="E7" s="94" t="s">
        <v>83</v>
      </c>
      <c r="F7" s="94" t="s">
        <v>96</v>
      </c>
      <c r="G7" s="94" t="s">
        <v>98</v>
      </c>
      <c r="H7" s="94" t="s">
        <v>95</v>
      </c>
      <c r="I7" s="94" t="s">
        <v>94</v>
      </c>
      <c r="J7" s="94" t="s">
        <v>206</v>
      </c>
      <c r="K7" s="94" t="e">
        <v>#N/A</v>
      </c>
      <c r="L7" s="94" t="e">
        <v>#N/A</v>
      </c>
      <c r="M7" s="94" t="e">
        <v>#N/A</v>
      </c>
      <c r="N7" s="94" t="e">
        <v>#N/A</v>
      </c>
      <c r="O7" s="94" t="e">
        <v>#N/A</v>
      </c>
      <c r="P7" s="94" t="e">
        <v>#N/A</v>
      </c>
      <c r="Q7" s="94" t="e">
        <v>#N/A</v>
      </c>
      <c r="R7" s="94" t="e">
        <v>#N/A</v>
      </c>
      <c r="S7" s="94" t="e">
        <v>#N/A</v>
      </c>
    </row>
    <row r="8" spans="1:19" x14ac:dyDescent="0.25">
      <c r="A8" s="1" t="s">
        <v>249</v>
      </c>
      <c r="B8" s="94" t="s">
        <v>252</v>
      </c>
      <c r="C8" s="94" t="s">
        <v>73</v>
      </c>
      <c r="D8" s="94" t="s">
        <v>269</v>
      </c>
      <c r="E8" s="94" t="s">
        <v>272</v>
      </c>
      <c r="F8" s="94" t="s">
        <v>274</v>
      </c>
      <c r="G8" s="94" t="s">
        <v>273</v>
      </c>
      <c r="H8" s="94" t="s">
        <v>270</v>
      </c>
      <c r="I8" s="94" t="s">
        <v>271</v>
      </c>
      <c r="J8" s="94" t="e">
        <v>#N/A</v>
      </c>
      <c r="K8" s="94" t="e">
        <v>#N/A</v>
      </c>
      <c r="L8" s="94" t="e">
        <v>#N/A</v>
      </c>
      <c r="M8" s="94" t="e">
        <v>#N/A</v>
      </c>
      <c r="N8" s="94" t="e">
        <v>#N/A</v>
      </c>
      <c r="O8" s="94" t="e">
        <v>#N/A</v>
      </c>
      <c r="P8" s="94" t="e">
        <v>#N/A</v>
      </c>
      <c r="Q8" s="94" t="e">
        <v>#N/A</v>
      </c>
      <c r="R8" s="94" t="e">
        <v>#N/A</v>
      </c>
      <c r="S8" s="94" t="e">
        <v>#N/A</v>
      </c>
    </row>
    <row r="9" spans="1:19" x14ac:dyDescent="0.25">
      <c r="A9" s="93" t="s">
        <v>10</v>
      </c>
      <c r="B9" s="94" t="s">
        <v>115</v>
      </c>
      <c r="C9" s="94" t="s">
        <v>73</v>
      </c>
      <c r="D9" s="94" t="s">
        <v>72</v>
      </c>
      <c r="E9" s="94" t="s">
        <v>207</v>
      </c>
      <c r="F9" s="94" t="s">
        <v>208</v>
      </c>
      <c r="G9" s="94" t="s">
        <v>74</v>
      </c>
      <c r="H9" s="94" t="s">
        <v>76</v>
      </c>
      <c r="I9" s="94" t="s">
        <v>75</v>
      </c>
      <c r="J9" s="94" t="s">
        <v>77</v>
      </c>
      <c r="K9" s="94" t="e">
        <v>#N/A</v>
      </c>
      <c r="L9" s="94" t="e">
        <v>#N/A</v>
      </c>
      <c r="M9" s="94" t="e">
        <v>#N/A</v>
      </c>
      <c r="N9" s="94" t="e">
        <v>#N/A</v>
      </c>
      <c r="O9" s="94" t="e">
        <v>#N/A</v>
      </c>
      <c r="P9" s="94" t="e">
        <v>#N/A</v>
      </c>
      <c r="Q9" s="94" t="e">
        <v>#N/A</v>
      </c>
      <c r="R9" s="94" t="e">
        <v>#N/A</v>
      </c>
      <c r="S9" s="94" t="e">
        <v>#N/A</v>
      </c>
    </row>
    <row r="10" spans="1:19" x14ac:dyDescent="0.25">
      <c r="A10" s="1" t="s">
        <v>250</v>
      </c>
      <c r="B10" s="94" t="s">
        <v>16</v>
      </c>
      <c r="C10" s="94" t="s">
        <v>73</v>
      </c>
      <c r="D10" s="94" t="s">
        <v>290</v>
      </c>
      <c r="E10" s="94" t="s">
        <v>291</v>
      </c>
      <c r="F10" s="94" t="s">
        <v>287</v>
      </c>
      <c r="G10" s="94" t="s">
        <v>286</v>
      </c>
      <c r="H10" s="94" t="s">
        <v>284</v>
      </c>
      <c r="I10" s="94" t="s">
        <v>283</v>
      </c>
      <c r="J10" s="94" t="s">
        <v>289</v>
      </c>
      <c r="K10" s="94" t="s">
        <v>288</v>
      </c>
      <c r="L10" s="94" t="s">
        <v>285</v>
      </c>
      <c r="M10" s="94" t="e">
        <v>#N/A</v>
      </c>
      <c r="N10" s="94" t="e">
        <v>#N/A</v>
      </c>
      <c r="O10" s="94" t="e">
        <v>#N/A</v>
      </c>
      <c r="P10" s="94" t="e">
        <v>#N/A</v>
      </c>
      <c r="Q10" s="94" t="e">
        <v>#N/A</v>
      </c>
      <c r="R10" s="94" t="e">
        <v>#N/A</v>
      </c>
      <c r="S10" s="94" t="e">
        <v>#N/A</v>
      </c>
    </row>
    <row r="14" spans="1:19" x14ac:dyDescent="0.25">
      <c r="A14" s="95" t="s">
        <v>292</v>
      </c>
      <c r="B14" s="95" t="s">
        <v>110</v>
      </c>
      <c r="C14" s="113" t="s">
        <v>102</v>
      </c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  <c r="O14" s="113"/>
      <c r="P14" s="113"/>
      <c r="Q14" s="113"/>
      <c r="R14" s="113"/>
      <c r="S14" s="113"/>
    </row>
    <row r="15" spans="1:19" x14ac:dyDescent="0.25">
      <c r="A15" s="94" t="e">
        <f>MATCH(TAR!C13,District,0)</f>
        <v>#N/A</v>
      </c>
      <c r="B15" s="94" t="e">
        <f>INDEX(DistrictCode,A15)</f>
        <v>#N/A</v>
      </c>
      <c r="C15" s="94" t="e">
        <f t="shared" ref="C15:S15" si="0">INDEX(Upazila,$A$15,C1)</f>
        <v>#N/A</v>
      </c>
      <c r="D15" s="94" t="e">
        <f t="shared" si="0"/>
        <v>#N/A</v>
      </c>
      <c r="E15" s="94" t="e">
        <f t="shared" si="0"/>
        <v>#N/A</v>
      </c>
      <c r="F15" s="94" t="e">
        <f t="shared" si="0"/>
        <v>#N/A</v>
      </c>
      <c r="G15" s="94" t="e">
        <f t="shared" si="0"/>
        <v>#N/A</v>
      </c>
      <c r="H15" s="94" t="e">
        <f t="shared" si="0"/>
        <v>#N/A</v>
      </c>
      <c r="I15" s="94" t="e">
        <f t="shared" si="0"/>
        <v>#N/A</v>
      </c>
      <c r="J15" s="94" t="e">
        <f t="shared" si="0"/>
        <v>#N/A</v>
      </c>
      <c r="K15" s="94" t="e">
        <f t="shared" si="0"/>
        <v>#N/A</v>
      </c>
      <c r="L15" s="94" t="e">
        <f t="shared" si="0"/>
        <v>#N/A</v>
      </c>
      <c r="M15" s="94" t="e">
        <f t="shared" si="0"/>
        <v>#N/A</v>
      </c>
      <c r="N15" s="94" t="e">
        <f t="shared" si="0"/>
        <v>#N/A</v>
      </c>
      <c r="O15" s="94" t="e">
        <f t="shared" si="0"/>
        <v>#N/A</v>
      </c>
      <c r="P15" s="94" t="e">
        <f t="shared" si="0"/>
        <v>#N/A</v>
      </c>
      <c r="Q15" s="94" t="e">
        <f t="shared" si="0"/>
        <v>#N/A</v>
      </c>
      <c r="R15" s="94" t="e">
        <f t="shared" si="0"/>
        <v>#N/A</v>
      </c>
      <c r="S15" s="94" t="e">
        <f t="shared" si="0"/>
        <v>#N/A</v>
      </c>
    </row>
    <row r="17" spans="1:8" x14ac:dyDescent="0.25">
      <c r="A17" s="74" t="s">
        <v>116</v>
      </c>
      <c r="B17" s="75">
        <f>TAR!C15</f>
        <v>0</v>
      </c>
    </row>
    <row r="18" spans="1:8" x14ac:dyDescent="0.25">
      <c r="A18" s="74"/>
      <c r="B18" s="75"/>
      <c r="F18" s="77" t="s">
        <v>143</v>
      </c>
      <c r="G18" s="78" t="s">
        <v>141</v>
      </c>
      <c r="H18" s="79" t="s">
        <v>142</v>
      </c>
    </row>
    <row r="19" spans="1:8" ht="16.5" x14ac:dyDescent="0.3">
      <c r="A19" s="74" t="s">
        <v>120</v>
      </c>
      <c r="B19" s="75"/>
      <c r="C19" s="75"/>
      <c r="F19" s="75"/>
      <c r="G19" s="76"/>
      <c r="H19" s="75"/>
    </row>
    <row r="20" spans="1:8" x14ac:dyDescent="0.25">
      <c r="A20" s="75" t="s">
        <v>107</v>
      </c>
      <c r="B20" s="75"/>
      <c r="C20" s="75"/>
      <c r="F20" s="75"/>
      <c r="G20" s="80" t="s">
        <v>191</v>
      </c>
      <c r="H20" s="81" t="s">
        <v>192</v>
      </c>
    </row>
    <row r="21" spans="1:8" x14ac:dyDescent="0.25">
      <c r="A21" s="75" t="s">
        <v>119</v>
      </c>
      <c r="B21" s="75"/>
      <c r="C21" s="75"/>
    </row>
    <row r="22" spans="1:8" x14ac:dyDescent="0.25">
      <c r="A22" s="75"/>
      <c r="B22" s="75"/>
      <c r="C22" s="75"/>
    </row>
    <row r="23" spans="1:8" x14ac:dyDescent="0.25">
      <c r="A23" s="74" t="s">
        <v>118</v>
      </c>
      <c r="B23" s="75">
        <f>IF(TAR!G13=A20,"M1",IF(TAR!G13=A21, "M2",0))</f>
        <v>0</v>
      </c>
      <c r="C23" s="75"/>
    </row>
    <row r="24" spans="1:8" x14ac:dyDescent="0.25">
      <c r="A24" s="82"/>
      <c r="B24" s="75"/>
      <c r="C24" s="75"/>
    </row>
    <row r="25" spans="1:8" x14ac:dyDescent="0.25">
      <c r="A25" s="82"/>
      <c r="B25" s="75"/>
      <c r="C25" s="75"/>
    </row>
    <row r="26" spans="1:8" x14ac:dyDescent="0.25">
      <c r="A26" s="101" t="s">
        <v>109</v>
      </c>
      <c r="B26" s="114" t="e">
        <f>CONCATENATE(B15, " - ", B17, " - ", B23, " - ", TEXT(TAR!G15,"000"))</f>
        <v>#N/A</v>
      </c>
      <c r="C26" s="114"/>
    </row>
  </sheetData>
  <sheetProtection algorithmName="SHA-512" hashValue="UL6Z50Bd8n2xYPOIPEJUNX5bhqE0C+RHLGx8QJsmnibO1d8d1WHIXs7KTIowoE2UHR8d+BrLHFOHvxZWEVciUw==" saltValue="zm/cwsoPKpnRa1O9IjhR7w==" spinCount="100000" sheet="1" objects="1" scenarios="1"/>
  <sortState ref="D15:D23">
    <sortCondition ref="D15"/>
  </sortState>
  <mergeCells count="2">
    <mergeCell ref="C14:S14"/>
    <mergeCell ref="B26:C2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32"/>
  <sheetViews>
    <sheetView workbookViewId="0">
      <selection activeCell="F16" sqref="F16"/>
    </sheetView>
  </sheetViews>
  <sheetFormatPr defaultRowHeight="15.75" x14ac:dyDescent="0.25"/>
  <cols>
    <col min="1" max="1" width="9" style="1"/>
    <col min="2" max="2" width="5.25" style="1" bestFit="1" customWidth="1"/>
    <col min="3" max="3" width="9.125" style="1" bestFit="1" customWidth="1"/>
    <col min="4" max="4" width="4.875" style="1" bestFit="1" customWidth="1"/>
    <col min="5" max="5" width="9" style="1"/>
    <col min="6" max="6" width="10.25" style="1" bestFit="1" customWidth="1"/>
    <col min="7" max="7" width="9.375" style="1" bestFit="1" customWidth="1"/>
    <col min="8" max="16384" width="9" style="1"/>
  </cols>
  <sheetData>
    <row r="1" spans="1:9" x14ac:dyDescent="0.25">
      <c r="A1" s="72" t="s">
        <v>122</v>
      </c>
      <c r="B1" s="72" t="s">
        <v>121</v>
      </c>
      <c r="C1" s="72" t="s">
        <v>135</v>
      </c>
    </row>
    <row r="2" spans="1:9" x14ac:dyDescent="0.25">
      <c r="A2" s="1" t="s">
        <v>123</v>
      </c>
      <c r="B2" s="1">
        <v>1</v>
      </c>
      <c r="C2" s="1">
        <v>2016</v>
      </c>
    </row>
    <row r="3" spans="1:9" x14ac:dyDescent="0.25">
      <c r="A3" s="1" t="s">
        <v>124</v>
      </c>
      <c r="B3" s="1">
        <v>2</v>
      </c>
      <c r="C3" s="1">
        <v>2017</v>
      </c>
    </row>
    <row r="4" spans="1:9" x14ac:dyDescent="0.25">
      <c r="A4" s="1" t="s">
        <v>125</v>
      </c>
      <c r="B4" s="1">
        <v>3</v>
      </c>
    </row>
    <row r="5" spans="1:9" x14ac:dyDescent="0.25">
      <c r="A5" s="1" t="s">
        <v>126</v>
      </c>
      <c r="B5" s="1">
        <v>4</v>
      </c>
      <c r="G5" s="1" t="s">
        <v>136</v>
      </c>
      <c r="H5" s="1" t="s">
        <v>137</v>
      </c>
      <c r="I5" s="1" t="s">
        <v>135</v>
      </c>
    </row>
    <row r="6" spans="1:9" x14ac:dyDescent="0.25">
      <c r="A6" s="1" t="s">
        <v>127</v>
      </c>
      <c r="B6" s="1">
        <v>5</v>
      </c>
      <c r="G6" s="1">
        <f>TAR!K15</f>
        <v>0</v>
      </c>
      <c r="H6" s="1" t="e">
        <f>VLOOKUP(TAR!L15,A2:B13,2,FALSE)</f>
        <v>#N/A</v>
      </c>
      <c r="I6" s="1">
        <f>TAR!M15</f>
        <v>0</v>
      </c>
    </row>
    <row r="7" spans="1:9" x14ac:dyDescent="0.25">
      <c r="A7" s="1" t="s">
        <v>128</v>
      </c>
      <c r="B7" s="1">
        <v>6</v>
      </c>
    </row>
    <row r="8" spans="1:9" x14ac:dyDescent="0.25">
      <c r="A8" s="1" t="s">
        <v>129</v>
      </c>
      <c r="B8" s="1">
        <v>7</v>
      </c>
      <c r="F8" s="72" t="s">
        <v>103</v>
      </c>
      <c r="G8" s="73" t="e">
        <f>DATE(I6,H6,G6)</f>
        <v>#N/A</v>
      </c>
    </row>
    <row r="9" spans="1:9" x14ac:dyDescent="0.25">
      <c r="A9" s="1" t="s">
        <v>130</v>
      </c>
      <c r="B9" s="1">
        <v>8</v>
      </c>
    </row>
    <row r="10" spans="1:9" x14ac:dyDescent="0.25">
      <c r="A10" s="1" t="s">
        <v>131</v>
      </c>
      <c r="B10" s="1">
        <v>9</v>
      </c>
      <c r="F10" s="72" t="s">
        <v>104</v>
      </c>
      <c r="G10" s="73" t="e">
        <f>DATE(I13,H13,G13)</f>
        <v>#N/A</v>
      </c>
    </row>
    <row r="11" spans="1:9" x14ac:dyDescent="0.25">
      <c r="A11" s="1" t="s">
        <v>132</v>
      </c>
      <c r="B11" s="1">
        <v>10</v>
      </c>
    </row>
    <row r="12" spans="1:9" x14ac:dyDescent="0.25">
      <c r="A12" s="1" t="s">
        <v>133</v>
      </c>
      <c r="B12" s="1">
        <v>11</v>
      </c>
      <c r="G12" s="1" t="s">
        <v>136</v>
      </c>
      <c r="H12" s="1" t="s">
        <v>137</v>
      </c>
      <c r="I12" s="1" t="s">
        <v>135</v>
      </c>
    </row>
    <row r="13" spans="1:9" x14ac:dyDescent="0.25">
      <c r="A13" s="1" t="s">
        <v>134</v>
      </c>
      <c r="B13" s="1">
        <v>12</v>
      </c>
      <c r="G13" s="1">
        <f>TAR!K17</f>
        <v>0</v>
      </c>
      <c r="H13" s="1" t="e">
        <f>VLOOKUP(TAR!L17,A2:B13,2,FALSE)</f>
        <v>#N/A</v>
      </c>
      <c r="I13" s="1">
        <f>TAR!M17</f>
        <v>0</v>
      </c>
    </row>
    <row r="14" spans="1:9" x14ac:dyDescent="0.25">
      <c r="B14" s="1">
        <v>13</v>
      </c>
    </row>
    <row r="15" spans="1:9" x14ac:dyDescent="0.25">
      <c r="B15" s="1">
        <v>14</v>
      </c>
    </row>
    <row r="16" spans="1:9" x14ac:dyDescent="0.25">
      <c r="B16" s="1">
        <v>15</v>
      </c>
    </row>
    <row r="17" spans="2:2" x14ac:dyDescent="0.25">
      <c r="B17" s="1">
        <v>16</v>
      </c>
    </row>
    <row r="18" spans="2:2" x14ac:dyDescent="0.25">
      <c r="B18" s="1">
        <v>17</v>
      </c>
    </row>
    <row r="19" spans="2:2" x14ac:dyDescent="0.25">
      <c r="B19" s="1">
        <v>18</v>
      </c>
    </row>
    <row r="20" spans="2:2" x14ac:dyDescent="0.25">
      <c r="B20" s="1">
        <v>19</v>
      </c>
    </row>
    <row r="21" spans="2:2" x14ac:dyDescent="0.25">
      <c r="B21" s="1">
        <v>20</v>
      </c>
    </row>
    <row r="22" spans="2:2" x14ac:dyDescent="0.25">
      <c r="B22" s="1">
        <v>21</v>
      </c>
    </row>
    <row r="23" spans="2:2" x14ac:dyDescent="0.25">
      <c r="B23" s="1">
        <v>22</v>
      </c>
    </row>
    <row r="24" spans="2:2" x14ac:dyDescent="0.25">
      <c r="B24" s="1">
        <v>23</v>
      </c>
    </row>
    <row r="25" spans="2:2" x14ac:dyDescent="0.25">
      <c r="B25" s="1">
        <v>24</v>
      </c>
    </row>
    <row r="26" spans="2:2" x14ac:dyDescent="0.25">
      <c r="B26" s="1">
        <v>25</v>
      </c>
    </row>
    <row r="27" spans="2:2" x14ac:dyDescent="0.25">
      <c r="B27" s="1">
        <v>26</v>
      </c>
    </row>
    <row r="28" spans="2:2" x14ac:dyDescent="0.25">
      <c r="B28" s="1">
        <v>27</v>
      </c>
    </row>
    <row r="29" spans="2:2" x14ac:dyDescent="0.25">
      <c r="B29" s="1">
        <v>28</v>
      </c>
    </row>
    <row r="30" spans="2:2" x14ac:dyDescent="0.25">
      <c r="B30" s="1">
        <v>29</v>
      </c>
    </row>
    <row r="31" spans="2:2" x14ac:dyDescent="0.25">
      <c r="B31" s="1">
        <v>30</v>
      </c>
    </row>
    <row r="32" spans="2:2" x14ac:dyDescent="0.25">
      <c r="B32" s="1">
        <v>31</v>
      </c>
    </row>
  </sheetData>
  <sheetProtection algorithmName="SHA-512" hashValue="ZTYcCNG9h6E3dRdt52AXpgHVtXov/0UNn1w5gEp0vSD0X5xCJ5X9QRU4GLIXWIwEyJ79xo23AgWAqQxsm1c5Zg==" saltValue="wdvWV5we/X8tS1dshFoBI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D13:K60"/>
  <sheetViews>
    <sheetView showGridLines="0" showRowColHeaders="0" topLeftCell="A16" workbookViewId="0">
      <selection activeCell="C23" sqref="C23"/>
    </sheetView>
  </sheetViews>
  <sheetFormatPr defaultRowHeight="15.75" x14ac:dyDescent="0.2"/>
  <cols>
    <col min="1" max="2" width="9" style="29"/>
    <col min="3" max="3" width="11.125" style="29" bestFit="1" customWidth="1"/>
    <col min="4" max="4" width="12.875" style="29" bestFit="1" customWidth="1"/>
    <col min="5" max="5" width="13.875" style="29" customWidth="1"/>
    <col min="6" max="6" width="14.125" style="29" customWidth="1"/>
    <col min="7" max="7" width="15.875" style="29" customWidth="1"/>
    <col min="8" max="8" width="13.375" style="29" customWidth="1"/>
    <col min="9" max="9" width="12.875" style="29" customWidth="1"/>
    <col min="10" max="10" width="12.375" style="29" customWidth="1"/>
    <col min="11" max="11" width="12.25" style="29" customWidth="1"/>
    <col min="12" max="16384" width="9" style="29"/>
  </cols>
  <sheetData>
    <row r="13" spans="5:10" ht="25.5" x14ac:dyDescent="0.2">
      <c r="E13" s="111" t="s">
        <v>242</v>
      </c>
      <c r="F13" s="111"/>
      <c r="G13" s="111"/>
      <c r="H13" s="111"/>
      <c r="I13" s="111"/>
      <c r="J13" s="111"/>
    </row>
    <row r="16" spans="5:10" x14ac:dyDescent="0.2">
      <c r="F16" s="109" t="s">
        <v>216</v>
      </c>
      <c r="G16" s="109"/>
      <c r="H16" s="115">
        <v>10</v>
      </c>
      <c r="I16" s="116"/>
    </row>
    <row r="19" spans="4:11" ht="47.25" x14ac:dyDescent="0.2">
      <c r="D19" s="60" t="s">
        <v>240</v>
      </c>
      <c r="E19" s="60" t="s">
        <v>217</v>
      </c>
      <c r="F19" s="60" t="s">
        <v>218</v>
      </c>
      <c r="G19" s="60" t="s">
        <v>219</v>
      </c>
      <c r="H19" s="60" t="s">
        <v>220</v>
      </c>
      <c r="I19" s="60" t="s">
        <v>238</v>
      </c>
      <c r="J19" s="60" t="s">
        <v>239</v>
      </c>
      <c r="K19" s="68" t="s">
        <v>221</v>
      </c>
    </row>
    <row r="20" spans="4:11" x14ac:dyDescent="0.2">
      <c r="D20" s="63" t="s">
        <v>222</v>
      </c>
      <c r="E20" s="55">
        <v>6</v>
      </c>
      <c r="F20" s="61">
        <f t="shared" ref="F20:F34" si="0">$H$16-E20</f>
        <v>4</v>
      </c>
      <c r="G20" s="55">
        <v>9</v>
      </c>
      <c r="H20" s="61">
        <f t="shared" ref="H20:H34" si="1">$H$16-G20</f>
        <v>1</v>
      </c>
      <c r="I20" s="66">
        <f t="shared" ref="I20:I34" si="2">E20/$H$16</f>
        <v>0.6</v>
      </c>
      <c r="J20" s="66">
        <f t="shared" ref="J20:J34" si="3">G20/$H$16</f>
        <v>0.9</v>
      </c>
      <c r="K20" s="69">
        <f>J20-I20</f>
        <v>0.30000000000000004</v>
      </c>
    </row>
    <row r="21" spans="4:11" x14ac:dyDescent="0.2">
      <c r="D21" s="64" t="s">
        <v>223</v>
      </c>
      <c r="E21" s="55">
        <v>6</v>
      </c>
      <c r="F21" s="61">
        <f t="shared" si="0"/>
        <v>4</v>
      </c>
      <c r="G21" s="55">
        <v>9</v>
      </c>
      <c r="H21" s="61">
        <f t="shared" si="1"/>
        <v>1</v>
      </c>
      <c r="I21" s="66">
        <f t="shared" si="2"/>
        <v>0.6</v>
      </c>
      <c r="J21" s="66">
        <f t="shared" si="3"/>
        <v>0.9</v>
      </c>
      <c r="K21" s="66">
        <f t="shared" ref="K21:K34" si="4">J21-I21</f>
        <v>0.30000000000000004</v>
      </c>
    </row>
    <row r="22" spans="4:11" x14ac:dyDescent="0.2">
      <c r="D22" s="64" t="s">
        <v>224</v>
      </c>
      <c r="E22" s="55">
        <v>6</v>
      </c>
      <c r="F22" s="61">
        <f t="shared" si="0"/>
        <v>4</v>
      </c>
      <c r="G22" s="55">
        <v>9</v>
      </c>
      <c r="H22" s="61">
        <f t="shared" si="1"/>
        <v>1</v>
      </c>
      <c r="I22" s="66">
        <f t="shared" si="2"/>
        <v>0.6</v>
      </c>
      <c r="J22" s="66">
        <f t="shared" si="3"/>
        <v>0.9</v>
      </c>
      <c r="K22" s="66">
        <f t="shared" si="4"/>
        <v>0.30000000000000004</v>
      </c>
    </row>
    <row r="23" spans="4:11" x14ac:dyDescent="0.2">
      <c r="D23" s="64" t="s">
        <v>225</v>
      </c>
      <c r="E23" s="55">
        <v>6</v>
      </c>
      <c r="F23" s="61">
        <f t="shared" si="0"/>
        <v>4</v>
      </c>
      <c r="G23" s="55">
        <v>9</v>
      </c>
      <c r="H23" s="61">
        <f t="shared" si="1"/>
        <v>1</v>
      </c>
      <c r="I23" s="66">
        <f t="shared" si="2"/>
        <v>0.6</v>
      </c>
      <c r="J23" s="66">
        <f t="shared" si="3"/>
        <v>0.9</v>
      </c>
      <c r="K23" s="66">
        <f t="shared" si="4"/>
        <v>0.30000000000000004</v>
      </c>
    </row>
    <row r="24" spans="4:11" x14ac:dyDescent="0.2">
      <c r="D24" s="64" t="s">
        <v>226</v>
      </c>
      <c r="E24" s="55">
        <v>6</v>
      </c>
      <c r="F24" s="61">
        <f t="shared" si="0"/>
        <v>4</v>
      </c>
      <c r="G24" s="55">
        <v>9</v>
      </c>
      <c r="H24" s="61">
        <f t="shared" si="1"/>
        <v>1</v>
      </c>
      <c r="I24" s="66">
        <f t="shared" si="2"/>
        <v>0.6</v>
      </c>
      <c r="J24" s="66">
        <f t="shared" si="3"/>
        <v>0.9</v>
      </c>
      <c r="K24" s="66">
        <f t="shared" si="4"/>
        <v>0.30000000000000004</v>
      </c>
    </row>
    <row r="25" spans="4:11" x14ac:dyDescent="0.2">
      <c r="D25" s="64" t="s">
        <v>227</v>
      </c>
      <c r="E25" s="55">
        <v>6</v>
      </c>
      <c r="F25" s="61">
        <f t="shared" si="0"/>
        <v>4</v>
      </c>
      <c r="G25" s="55">
        <v>9</v>
      </c>
      <c r="H25" s="61">
        <f t="shared" si="1"/>
        <v>1</v>
      </c>
      <c r="I25" s="66">
        <f t="shared" si="2"/>
        <v>0.6</v>
      </c>
      <c r="J25" s="66">
        <f t="shared" si="3"/>
        <v>0.9</v>
      </c>
      <c r="K25" s="66">
        <f t="shared" si="4"/>
        <v>0.30000000000000004</v>
      </c>
    </row>
    <row r="26" spans="4:11" x14ac:dyDescent="0.2">
      <c r="D26" s="64" t="s">
        <v>228</v>
      </c>
      <c r="E26" s="55">
        <v>6</v>
      </c>
      <c r="F26" s="61">
        <f t="shared" si="0"/>
        <v>4</v>
      </c>
      <c r="G26" s="55">
        <v>9</v>
      </c>
      <c r="H26" s="61">
        <f t="shared" si="1"/>
        <v>1</v>
      </c>
      <c r="I26" s="66">
        <f t="shared" si="2"/>
        <v>0.6</v>
      </c>
      <c r="J26" s="66">
        <f t="shared" si="3"/>
        <v>0.9</v>
      </c>
      <c r="K26" s="66">
        <f t="shared" si="4"/>
        <v>0.30000000000000004</v>
      </c>
    </row>
    <row r="27" spans="4:11" x14ac:dyDescent="0.2">
      <c r="D27" s="64" t="s">
        <v>229</v>
      </c>
      <c r="E27" s="55">
        <v>6</v>
      </c>
      <c r="F27" s="61">
        <f t="shared" si="0"/>
        <v>4</v>
      </c>
      <c r="G27" s="55">
        <v>9</v>
      </c>
      <c r="H27" s="61">
        <f t="shared" si="1"/>
        <v>1</v>
      </c>
      <c r="I27" s="66">
        <f t="shared" si="2"/>
        <v>0.6</v>
      </c>
      <c r="J27" s="66">
        <f t="shared" si="3"/>
        <v>0.9</v>
      </c>
      <c r="K27" s="66">
        <f t="shared" si="4"/>
        <v>0.30000000000000004</v>
      </c>
    </row>
    <row r="28" spans="4:11" x14ac:dyDescent="0.2">
      <c r="D28" s="64" t="s">
        <v>230</v>
      </c>
      <c r="E28" s="55">
        <v>6</v>
      </c>
      <c r="F28" s="61">
        <f t="shared" si="0"/>
        <v>4</v>
      </c>
      <c r="G28" s="55">
        <v>9</v>
      </c>
      <c r="H28" s="61">
        <f t="shared" si="1"/>
        <v>1</v>
      </c>
      <c r="I28" s="66">
        <f t="shared" si="2"/>
        <v>0.6</v>
      </c>
      <c r="J28" s="66">
        <f t="shared" si="3"/>
        <v>0.9</v>
      </c>
      <c r="K28" s="66">
        <f t="shared" si="4"/>
        <v>0.30000000000000004</v>
      </c>
    </row>
    <row r="29" spans="4:11" x14ac:dyDescent="0.2">
      <c r="D29" s="64" t="s">
        <v>231</v>
      </c>
      <c r="E29" s="55">
        <v>6</v>
      </c>
      <c r="F29" s="61">
        <f t="shared" si="0"/>
        <v>4</v>
      </c>
      <c r="G29" s="55">
        <v>9</v>
      </c>
      <c r="H29" s="61">
        <f t="shared" si="1"/>
        <v>1</v>
      </c>
      <c r="I29" s="66">
        <f t="shared" si="2"/>
        <v>0.6</v>
      </c>
      <c r="J29" s="66">
        <f t="shared" si="3"/>
        <v>0.9</v>
      </c>
      <c r="K29" s="66">
        <f t="shared" si="4"/>
        <v>0.30000000000000004</v>
      </c>
    </row>
    <row r="30" spans="4:11" x14ac:dyDescent="0.2">
      <c r="D30" s="64" t="s">
        <v>232</v>
      </c>
      <c r="E30" s="55">
        <v>6</v>
      </c>
      <c r="F30" s="61">
        <f t="shared" si="0"/>
        <v>4</v>
      </c>
      <c r="G30" s="55">
        <v>9</v>
      </c>
      <c r="H30" s="61">
        <f t="shared" si="1"/>
        <v>1</v>
      </c>
      <c r="I30" s="66">
        <f t="shared" si="2"/>
        <v>0.6</v>
      </c>
      <c r="J30" s="66">
        <f t="shared" si="3"/>
        <v>0.9</v>
      </c>
      <c r="K30" s="66">
        <f t="shared" si="4"/>
        <v>0.30000000000000004</v>
      </c>
    </row>
    <row r="31" spans="4:11" x14ac:dyDescent="0.2">
      <c r="D31" s="64" t="s">
        <v>233</v>
      </c>
      <c r="E31" s="55">
        <v>6</v>
      </c>
      <c r="F31" s="61">
        <f t="shared" si="0"/>
        <v>4</v>
      </c>
      <c r="G31" s="55">
        <v>9</v>
      </c>
      <c r="H31" s="61">
        <f t="shared" si="1"/>
        <v>1</v>
      </c>
      <c r="I31" s="66">
        <f t="shared" si="2"/>
        <v>0.6</v>
      </c>
      <c r="J31" s="66">
        <f t="shared" si="3"/>
        <v>0.9</v>
      </c>
      <c r="K31" s="66">
        <f t="shared" si="4"/>
        <v>0.30000000000000004</v>
      </c>
    </row>
    <row r="32" spans="4:11" x14ac:dyDescent="0.2">
      <c r="D32" s="64" t="s">
        <v>234</v>
      </c>
      <c r="E32" s="55">
        <v>6</v>
      </c>
      <c r="F32" s="61">
        <f t="shared" si="0"/>
        <v>4</v>
      </c>
      <c r="G32" s="55">
        <v>9</v>
      </c>
      <c r="H32" s="61">
        <f t="shared" si="1"/>
        <v>1</v>
      </c>
      <c r="I32" s="66">
        <f t="shared" si="2"/>
        <v>0.6</v>
      </c>
      <c r="J32" s="66">
        <f t="shared" si="3"/>
        <v>0.9</v>
      </c>
      <c r="K32" s="66">
        <f t="shared" si="4"/>
        <v>0.30000000000000004</v>
      </c>
    </row>
    <row r="33" spans="4:11" x14ac:dyDescent="0.2">
      <c r="D33" s="64" t="s">
        <v>235</v>
      </c>
      <c r="E33" s="55">
        <v>6</v>
      </c>
      <c r="F33" s="61">
        <f t="shared" si="0"/>
        <v>4</v>
      </c>
      <c r="G33" s="55">
        <v>9</v>
      </c>
      <c r="H33" s="61">
        <f t="shared" si="1"/>
        <v>1</v>
      </c>
      <c r="I33" s="66">
        <f t="shared" si="2"/>
        <v>0.6</v>
      </c>
      <c r="J33" s="66">
        <f t="shared" si="3"/>
        <v>0.9</v>
      </c>
      <c r="K33" s="66">
        <f t="shared" si="4"/>
        <v>0.30000000000000004</v>
      </c>
    </row>
    <row r="34" spans="4:11" x14ac:dyDescent="0.2">
      <c r="D34" s="65" t="s">
        <v>236</v>
      </c>
      <c r="E34" s="55">
        <v>6</v>
      </c>
      <c r="F34" s="62">
        <f t="shared" si="0"/>
        <v>4</v>
      </c>
      <c r="G34" s="56">
        <v>9</v>
      </c>
      <c r="H34" s="62">
        <f t="shared" si="1"/>
        <v>1</v>
      </c>
      <c r="I34" s="67">
        <f t="shared" si="2"/>
        <v>0.6</v>
      </c>
      <c r="J34" s="67">
        <f t="shared" si="3"/>
        <v>0.9</v>
      </c>
      <c r="K34" s="67">
        <f t="shared" si="4"/>
        <v>0.30000000000000004</v>
      </c>
    </row>
    <row r="35" spans="4:11" x14ac:dyDescent="0.2">
      <c r="D35" s="57"/>
      <c r="E35" s="58"/>
      <c r="F35" s="58"/>
      <c r="G35" s="58"/>
      <c r="H35" s="58"/>
      <c r="I35" s="58"/>
      <c r="J35" s="59" t="s">
        <v>237</v>
      </c>
      <c r="K35" s="70">
        <f>AVERAGE(K20:K34)</f>
        <v>0.29999999999999993</v>
      </c>
    </row>
    <row r="60" spans="5:5" x14ac:dyDescent="0.2">
      <c r="E60" s="71"/>
    </row>
  </sheetData>
  <sheetProtection algorithmName="SHA-512" hashValue="qIyqWdubCiza7yoMRZH380VjiWyiFpClKHgJvYy6qJ0CFpOOoWa5pz+/nFPR3DhYc+Kzzg919qis8avpDrmhvg==" saltValue="L0Rjj//DCdNnOL+aTQOQpQ==" spinCount="100000" sheet="1" objects="1" scenarios="1"/>
  <mergeCells count="3">
    <mergeCell ref="F16:G16"/>
    <mergeCell ref="H16:I16"/>
    <mergeCell ref="E13:J13"/>
  </mergeCells>
  <conditionalFormatting sqref="E6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{93B57ED6-A092-4C3A-87E7-9F950CAC8E02}</x14:id>
        </ext>
      </extLst>
    </cfRule>
  </conditionalFormatting>
  <dataValidations count="3">
    <dataValidation type="whole" allowBlank="1" showInputMessage="1" showErrorMessage="1" sqref="G20:G34">
      <formula1>0</formula1>
      <formula2>$H$16</formula2>
    </dataValidation>
    <dataValidation type="whole" allowBlank="1" showInputMessage="1" showErrorMessage="1" sqref="H16:I16">
      <formula1>1</formula1>
      <formula2>40</formula2>
    </dataValidation>
    <dataValidation type="whole" allowBlank="1" showInputMessage="1" showErrorMessage="1" sqref="E20:E34">
      <formula1>0</formula1>
      <formula2>$H$16</formula2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B57ED6-A092-4C3A-87E7-9F950CAC8E0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E60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56"/>
  <sheetViews>
    <sheetView showGridLines="0" topLeftCell="A25" workbookViewId="0">
      <selection activeCell="C44" sqref="C44"/>
    </sheetView>
  </sheetViews>
  <sheetFormatPr defaultRowHeight="15" x14ac:dyDescent="0.25"/>
  <cols>
    <col min="1" max="12" width="9" style="3"/>
    <col min="13" max="13" width="14.25" style="3" customWidth="1"/>
    <col min="14" max="14" width="8.625" style="3" customWidth="1"/>
    <col min="15" max="15" width="6.5" style="3" customWidth="1"/>
    <col min="16" max="16" width="9" style="3"/>
    <col min="17" max="17" width="11.875" style="3" customWidth="1"/>
    <col min="18" max="16384" width="9" style="3"/>
  </cols>
  <sheetData>
    <row r="1" spans="1:12" ht="15.75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2"/>
      <c r="L1" s="2"/>
    </row>
    <row r="2" spans="1:12" ht="15.7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2"/>
      <c r="L2" s="2"/>
    </row>
    <row r="3" spans="1:12" ht="15.75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2"/>
      <c r="L3" s="2"/>
    </row>
    <row r="4" spans="1:12" ht="15.75" x14ac:dyDescent="0.25">
      <c r="A4" s="1"/>
      <c r="B4" s="1"/>
      <c r="C4" s="1"/>
      <c r="D4" s="1"/>
      <c r="E4" s="1"/>
      <c r="F4" s="4"/>
      <c r="G4" s="1"/>
      <c r="H4" s="1"/>
      <c r="I4" s="2"/>
      <c r="J4" s="2"/>
      <c r="K4" s="2"/>
      <c r="L4" s="2"/>
    </row>
    <row r="5" spans="1:12" ht="15.75" x14ac:dyDescent="0.25">
      <c r="A5" s="1"/>
      <c r="B5" s="1"/>
      <c r="C5" s="1"/>
      <c r="D5" s="1"/>
      <c r="E5" s="1"/>
      <c r="F5" s="5"/>
      <c r="G5" s="1"/>
      <c r="H5" s="1"/>
      <c r="I5" s="2"/>
      <c r="J5" s="2"/>
      <c r="K5" s="2"/>
      <c r="L5" s="2"/>
    </row>
    <row r="6" spans="1:12" ht="15.75" x14ac:dyDescent="0.25">
      <c r="A6" s="1"/>
      <c r="B6" s="1"/>
      <c r="C6" s="1"/>
      <c r="D6" s="1"/>
      <c r="E6" s="1"/>
      <c r="F6" s="5"/>
      <c r="G6" s="1"/>
      <c r="H6" s="1"/>
      <c r="I6" s="2"/>
      <c r="J6" s="2"/>
      <c r="K6" s="2"/>
      <c r="L6" s="2"/>
    </row>
    <row r="7" spans="1:12" ht="15.75" x14ac:dyDescent="0.25">
      <c r="A7" s="1"/>
      <c r="B7" s="1"/>
      <c r="C7" s="1"/>
      <c r="D7" s="1"/>
      <c r="E7" s="1"/>
      <c r="F7" s="6"/>
      <c r="G7" s="1"/>
      <c r="H7" s="1"/>
      <c r="I7" s="1"/>
      <c r="J7" s="1"/>
      <c r="K7" s="2"/>
      <c r="L7" s="2"/>
    </row>
    <row r="8" spans="1:12" ht="15.75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2"/>
      <c r="L8" s="2"/>
    </row>
    <row r="9" spans="1:12" ht="15.75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2"/>
      <c r="L9" s="2"/>
    </row>
    <row r="10" spans="1:12" ht="15.75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7"/>
    </row>
    <row r="15" spans="1:12" x14ac:dyDescent="0.25">
      <c r="B15" s="8" t="s">
        <v>198</v>
      </c>
      <c r="C15" s="8"/>
      <c r="D15" s="8"/>
      <c r="J15" s="8" t="s">
        <v>200</v>
      </c>
    </row>
    <row r="17" spans="2:17" ht="15.75" x14ac:dyDescent="0.25">
      <c r="B17" s="125" t="s">
        <v>199</v>
      </c>
      <c r="C17" s="125"/>
      <c r="D17" s="143">
        <f>DTGroup!F4</f>
        <v>0</v>
      </c>
      <c r="E17" s="144"/>
      <c r="F17" s="145"/>
      <c r="J17" s="125" t="s">
        <v>109</v>
      </c>
      <c r="K17" s="125"/>
      <c r="L17" s="131" t="e">
        <f>TrainingVenue!B26</f>
        <v>#N/A</v>
      </c>
      <c r="M17" s="131"/>
      <c r="N17" s="131"/>
      <c r="O17" s="131"/>
      <c r="P17" s="131"/>
      <c r="Q17" s="131"/>
    </row>
    <row r="19" spans="2:17" ht="15.75" x14ac:dyDescent="0.25">
      <c r="B19" s="138" t="s">
        <v>186</v>
      </c>
      <c r="C19" s="139"/>
      <c r="D19" s="140" t="e">
        <f>DTGroup!F7</f>
        <v>#N/A</v>
      </c>
      <c r="E19" s="141"/>
      <c r="F19" s="142"/>
      <c r="J19" s="125" t="s">
        <v>0</v>
      </c>
      <c r="K19" s="120"/>
      <c r="L19" s="117">
        <f>TAR!C13</f>
        <v>0</v>
      </c>
      <c r="M19" s="118"/>
      <c r="N19" s="119" t="s">
        <v>185</v>
      </c>
      <c r="O19" s="120"/>
      <c r="P19" s="121">
        <f>TAR!C15</f>
        <v>0</v>
      </c>
      <c r="Q19" s="122"/>
    </row>
    <row r="20" spans="2:17" ht="15.75" x14ac:dyDescent="0.25">
      <c r="B20" s="1"/>
      <c r="C20" s="1"/>
      <c r="D20" s="1"/>
      <c r="E20" s="1"/>
      <c r="F20" s="2"/>
    </row>
    <row r="21" spans="2:17" ht="15.75" x14ac:dyDescent="0.25">
      <c r="B21" s="138" t="s">
        <v>187</v>
      </c>
      <c r="C21" s="139"/>
      <c r="D21" s="140" t="e">
        <f>DTGroup!F10</f>
        <v>#N/A</v>
      </c>
      <c r="E21" s="141"/>
      <c r="F21" s="142"/>
      <c r="J21" s="125" t="s">
        <v>117</v>
      </c>
      <c r="K21" s="120"/>
      <c r="L21" s="117">
        <f>TAR!C17</f>
        <v>0</v>
      </c>
      <c r="M21" s="118"/>
      <c r="N21" s="119" t="s">
        <v>1</v>
      </c>
      <c r="O21" s="120"/>
      <c r="P21" s="117">
        <f>TAR!G13</f>
        <v>0</v>
      </c>
      <c r="Q21" s="118"/>
    </row>
    <row r="23" spans="2:17" x14ac:dyDescent="0.25">
      <c r="J23" s="125" t="s">
        <v>202</v>
      </c>
      <c r="K23" s="125"/>
      <c r="L23" s="126" t="e">
        <f>Date!G8</f>
        <v>#N/A</v>
      </c>
      <c r="M23" s="126"/>
      <c r="N23" s="125" t="s">
        <v>201</v>
      </c>
      <c r="O23" s="125"/>
      <c r="P23" s="126" t="e">
        <f>Date!G10</f>
        <v>#N/A</v>
      </c>
      <c r="Q23" s="126"/>
    </row>
    <row r="26" spans="2:17" ht="15.75" x14ac:dyDescent="0.25">
      <c r="B26" s="9" t="s">
        <v>195</v>
      </c>
      <c r="C26" s="9"/>
      <c r="L26" s="132" t="s">
        <v>138</v>
      </c>
      <c r="M26" s="129"/>
      <c r="N26" s="129">
        <v>25</v>
      </c>
      <c r="O26" s="130"/>
    </row>
    <row r="27" spans="2:17" ht="15.75" x14ac:dyDescent="0.25">
      <c r="L27" s="136" t="s">
        <v>139</v>
      </c>
      <c r="M27" s="134"/>
      <c r="N27" s="134">
        <f>L42</f>
        <v>0</v>
      </c>
      <c r="O27" s="135"/>
    </row>
    <row r="28" spans="2:17" ht="15.75" x14ac:dyDescent="0.25">
      <c r="B28" s="10"/>
      <c r="C28" s="11" t="s">
        <v>188</v>
      </c>
      <c r="D28" s="11" t="s">
        <v>189</v>
      </c>
      <c r="E28" s="11" t="s">
        <v>190</v>
      </c>
      <c r="F28" s="12"/>
      <c r="L28" s="133" t="s">
        <v>140</v>
      </c>
      <c r="M28" s="123"/>
      <c r="N28" s="123">
        <f>ABS(N26-N27)</f>
        <v>25</v>
      </c>
      <c r="O28" s="124"/>
    </row>
    <row r="29" spans="2:17" ht="15.75" x14ac:dyDescent="0.25">
      <c r="B29" s="13"/>
      <c r="C29" s="14"/>
      <c r="D29" s="15"/>
      <c r="E29" s="16"/>
      <c r="F29" s="15"/>
      <c r="L29" s="1"/>
      <c r="M29" s="1"/>
      <c r="N29" s="1"/>
      <c r="O29" s="1"/>
    </row>
    <row r="30" spans="2:17" ht="15.75" x14ac:dyDescent="0.25">
      <c r="B30" s="17" t="s">
        <v>193</v>
      </c>
      <c r="C30" s="18">
        <f>COUNTIF(TAR!J26:J65,TrainingVenue!G20)</f>
        <v>0</v>
      </c>
      <c r="D30" s="18">
        <f>COUNTIF(TAR!K26:K65,TrainingVenue!G20)</f>
        <v>0</v>
      </c>
      <c r="E30" s="18">
        <f>COUNTIF(TAR!L26:L65,TrainingVenue!G20)</f>
        <v>0</v>
      </c>
      <c r="F30" s="19"/>
      <c r="L30" s="1"/>
      <c r="M30" s="1"/>
      <c r="N30" s="1"/>
      <c r="O30" s="1"/>
    </row>
    <row r="31" spans="2:17" ht="15" customHeight="1" x14ac:dyDescent="0.25">
      <c r="B31" s="13"/>
      <c r="C31" s="14"/>
      <c r="D31" s="15"/>
      <c r="E31" s="16"/>
      <c r="F31" s="15"/>
      <c r="L31" s="137" t="str">
        <f>IF((N26-N27)=0,TrainingVenue!F18,IF((N26-N27)&lt;0,REPT(TrainingVenue!G18,N28),IF((N26-N27)&gt;0,REPT(TrainingVenue!H18,N28),0)))</f>
        <v>↓↓↓↓↓↓↓↓↓↓↓↓↓↓↓↓↓↓↓↓↓↓↓↓↓</v>
      </c>
      <c r="M31" s="137"/>
      <c r="N31" s="137"/>
      <c r="O31" s="137"/>
    </row>
    <row r="32" spans="2:17" ht="15" customHeight="1" x14ac:dyDescent="0.25">
      <c r="B32" s="17" t="s">
        <v>194</v>
      </c>
      <c r="C32" s="18">
        <f>COUNTIF(TAR!J26:J65,TrainingVenue!H20)</f>
        <v>0</v>
      </c>
      <c r="D32" s="18">
        <f>COUNTIF(TAR!K26:K65,TrainingVenue!H20)</f>
        <v>0</v>
      </c>
      <c r="E32" s="18">
        <f>COUNTIF(TAR!L26:L65,TrainingVenue!H20)</f>
        <v>0</v>
      </c>
      <c r="F32" s="19"/>
      <c r="L32" s="137"/>
      <c r="M32" s="137"/>
      <c r="N32" s="137"/>
      <c r="O32" s="137"/>
    </row>
    <row r="33" spans="2:13" x14ac:dyDescent="0.25">
      <c r="B33" s="20"/>
      <c r="C33" s="21"/>
      <c r="D33" s="22"/>
      <c r="E33" s="23"/>
      <c r="F33" s="15"/>
    </row>
    <row r="34" spans="2:13" ht="15.75" x14ac:dyDescent="0.25">
      <c r="D34" s="1"/>
      <c r="E34" s="1"/>
      <c r="F34" s="1"/>
      <c r="G34" s="1"/>
    </row>
    <row r="37" spans="2:13" ht="15.75" x14ac:dyDescent="0.25">
      <c r="B37" s="9" t="s">
        <v>106</v>
      </c>
      <c r="C37" s="9"/>
      <c r="D37" s="9"/>
      <c r="E37" s="1"/>
      <c r="J37" s="9" t="s">
        <v>105</v>
      </c>
      <c r="K37" s="9"/>
      <c r="L37" s="9"/>
      <c r="M37" s="1"/>
    </row>
    <row r="38" spans="2:13" ht="15.75" x14ac:dyDescent="0.25">
      <c r="B38" s="1"/>
      <c r="C38" s="1"/>
      <c r="D38" s="1"/>
      <c r="E38" s="1"/>
      <c r="J38" s="1"/>
      <c r="K38" s="1"/>
      <c r="L38" s="1"/>
      <c r="M38" s="1"/>
    </row>
    <row r="39" spans="2:13" ht="15.75" x14ac:dyDescent="0.25">
      <c r="B39" s="132" t="s">
        <v>100</v>
      </c>
      <c r="C39" s="129"/>
      <c r="D39" s="129">
        <f>COUNTIF(TAR!D26:D65,"Male")</f>
        <v>0</v>
      </c>
      <c r="E39" s="130"/>
      <c r="J39" s="132" t="s">
        <v>147</v>
      </c>
      <c r="K39" s="129"/>
      <c r="L39" s="129">
        <f>COUNTIF(TAR!I26:I65,"Class 1")</f>
        <v>0</v>
      </c>
      <c r="M39" s="130"/>
    </row>
    <row r="40" spans="2:13" ht="15.75" x14ac:dyDescent="0.25">
      <c r="B40" s="133" t="s">
        <v>101</v>
      </c>
      <c r="C40" s="123"/>
      <c r="D40" s="123">
        <f>COUNTIF(TAR!D26:D65,"Female")</f>
        <v>0</v>
      </c>
      <c r="E40" s="124"/>
      <c r="J40" s="136" t="s">
        <v>148</v>
      </c>
      <c r="K40" s="134"/>
      <c r="L40" s="134">
        <f>COUNTIF(TAR!I26:I65,"Class 2")</f>
        <v>0</v>
      </c>
      <c r="M40" s="135"/>
    </row>
    <row r="41" spans="2:13" ht="15.75" x14ac:dyDescent="0.25">
      <c r="B41" s="127" t="s">
        <v>99</v>
      </c>
      <c r="C41" s="128"/>
      <c r="D41" s="123">
        <f>SUM(D39:E40)</f>
        <v>0</v>
      </c>
      <c r="E41" s="124"/>
      <c r="F41" s="1"/>
      <c r="G41" s="1"/>
      <c r="H41" s="1"/>
      <c r="J41" s="136" t="s">
        <v>149</v>
      </c>
      <c r="K41" s="134"/>
      <c r="L41" s="134">
        <f>COUNTIF(TAR!I26:I65,"Class 3")</f>
        <v>0</v>
      </c>
      <c r="M41" s="135"/>
    </row>
    <row r="42" spans="2:13" ht="15.75" x14ac:dyDescent="0.25">
      <c r="E42" s="1"/>
      <c r="F42" s="1"/>
      <c r="G42" s="1"/>
      <c r="H42" s="1"/>
      <c r="J42" s="127" t="s">
        <v>99</v>
      </c>
      <c r="K42" s="128"/>
      <c r="L42" s="123">
        <f>SUM(L39:M41)</f>
        <v>0</v>
      </c>
      <c r="M42" s="124"/>
    </row>
    <row r="43" spans="2:13" ht="15.75" x14ac:dyDescent="0.25">
      <c r="E43" s="1"/>
      <c r="F43" s="1"/>
      <c r="G43" s="1"/>
      <c r="H43" s="1"/>
    </row>
    <row r="44" spans="2:13" ht="15.75" x14ac:dyDescent="0.25">
      <c r="E44" s="1"/>
      <c r="F44" s="1"/>
      <c r="G44" s="1"/>
      <c r="H44" s="1"/>
    </row>
    <row r="50" spans="5:8" ht="15.75" x14ac:dyDescent="0.25">
      <c r="E50" s="1"/>
      <c r="F50" s="1"/>
      <c r="G50" s="1"/>
      <c r="H50" s="1"/>
    </row>
    <row r="51" spans="5:8" ht="15.75" x14ac:dyDescent="0.25">
      <c r="E51" s="1"/>
      <c r="F51" s="1"/>
      <c r="G51" s="1"/>
      <c r="H51" s="1"/>
    </row>
    <row r="52" spans="5:8" ht="15.75" x14ac:dyDescent="0.25">
      <c r="E52" s="1"/>
      <c r="F52" s="1"/>
      <c r="G52" s="1"/>
      <c r="H52" s="1"/>
    </row>
    <row r="53" spans="5:8" ht="15.75" x14ac:dyDescent="0.25">
      <c r="E53" s="1"/>
      <c r="F53" s="1"/>
      <c r="G53" s="1"/>
      <c r="H53" s="1"/>
    </row>
    <row r="54" spans="5:8" ht="15.75" x14ac:dyDescent="0.25">
      <c r="E54" s="1"/>
      <c r="F54" s="1"/>
      <c r="G54" s="1"/>
      <c r="H54" s="1"/>
    </row>
    <row r="55" spans="5:8" ht="15.75" x14ac:dyDescent="0.25">
      <c r="E55" s="1"/>
      <c r="F55" s="1"/>
      <c r="G55" s="1"/>
      <c r="H55" s="1"/>
    </row>
    <row r="56" spans="5:8" ht="15.75" x14ac:dyDescent="0.25">
      <c r="E56" s="1"/>
      <c r="F56" s="1"/>
      <c r="G56" s="1"/>
      <c r="H56" s="1"/>
    </row>
  </sheetData>
  <sheetProtection algorithmName="SHA-512" hashValue="WDZpy2kYV3CjBijbBClvBO1w+z9sP6Ef5R3q3074tf/lQeYKR1e1jhGWij5COQWNo7NU5HS3LRxgHkKyU/hhwA==" saltValue="uI1MizWk0UgOJ/ZQs4gjog==" spinCount="100000" sheet="1" objects="1" scenarios="1"/>
  <mergeCells count="41">
    <mergeCell ref="J17:K17"/>
    <mergeCell ref="B19:C19"/>
    <mergeCell ref="B21:C21"/>
    <mergeCell ref="D19:F19"/>
    <mergeCell ref="D21:F21"/>
    <mergeCell ref="B17:C17"/>
    <mergeCell ref="D17:F17"/>
    <mergeCell ref="J19:K19"/>
    <mergeCell ref="J21:K21"/>
    <mergeCell ref="L17:Q17"/>
    <mergeCell ref="B39:C39"/>
    <mergeCell ref="B40:C40"/>
    <mergeCell ref="B41:C41"/>
    <mergeCell ref="L41:M41"/>
    <mergeCell ref="J39:K39"/>
    <mergeCell ref="J40:K40"/>
    <mergeCell ref="J41:K41"/>
    <mergeCell ref="L39:M39"/>
    <mergeCell ref="L40:M40"/>
    <mergeCell ref="L31:O32"/>
    <mergeCell ref="L26:M26"/>
    <mergeCell ref="L27:M27"/>
    <mergeCell ref="L28:M28"/>
    <mergeCell ref="N26:O26"/>
    <mergeCell ref="N27:O27"/>
    <mergeCell ref="J42:K42"/>
    <mergeCell ref="L42:M42"/>
    <mergeCell ref="D39:E39"/>
    <mergeCell ref="D40:E40"/>
    <mergeCell ref="D41:E41"/>
    <mergeCell ref="N28:O28"/>
    <mergeCell ref="J23:K23"/>
    <mergeCell ref="L23:M23"/>
    <mergeCell ref="P23:Q23"/>
    <mergeCell ref="N23:O23"/>
    <mergeCell ref="L19:M19"/>
    <mergeCell ref="L21:M21"/>
    <mergeCell ref="N19:O19"/>
    <mergeCell ref="N21:O21"/>
    <mergeCell ref="P21:Q21"/>
    <mergeCell ref="P19:Q19"/>
  </mergeCells>
  <conditionalFormatting sqref="J39 J4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9:B40">
    <cfRule type="colorScale" priority="9">
      <colorScale>
        <cfvo type="min"/>
        <cfvo type="max"/>
        <color rgb="FFFCFCFF"/>
        <color rgb="FF63BE7B"/>
      </colorScale>
    </cfRule>
  </conditionalFormatting>
  <conditionalFormatting sqref="L39:L41">
    <cfRule type="dataBar" priority="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{EF6FCDA7-28FB-4C5A-A106-C0471B522C39}</x14:id>
        </ext>
      </extLst>
    </cfRule>
  </conditionalFormatting>
  <conditionalFormatting sqref="D39:D40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{BD880E8C-EB2D-40B7-AEF2-225D1A4DAE9C}</x14:id>
        </ext>
      </extLst>
    </cfRule>
  </conditionalFormatting>
  <conditionalFormatting sqref="N26:O27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{0C84E893-32AA-40A6-B473-B4255212867B}</x14:id>
        </ext>
      </extLst>
    </cfRule>
  </conditionalFormatting>
  <conditionalFormatting sqref="N26:O2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{DAD607AC-100E-476F-92A2-78AB917E7193}</x14:id>
        </ext>
      </extLst>
    </cfRule>
  </conditionalFormatting>
  <conditionalFormatting sqref="E2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{99903DA5-31AE-4633-884C-21746FCA7743}</x14:id>
        </ext>
      </extLst>
    </cfRule>
  </conditionalFormatting>
  <conditionalFormatting sqref="C30 C32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{10A9B99A-9DED-4109-B513-3C453D003322}</x14:id>
        </ext>
      </extLst>
    </cfRule>
  </conditionalFormatting>
  <conditionalFormatting sqref="D30 D32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{8E27123C-D27A-4886-B381-08D14F728079}</x14:id>
        </ext>
      </extLst>
    </cfRule>
  </conditionalFormatting>
  <conditionalFormatting sqref="E30 E32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{71478E9A-BD3E-426B-8658-5EA334C97C93}</x14:id>
        </ext>
      </extLst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F6FCDA7-28FB-4C5A-A106-C0471B522C3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L39:L41</xm:sqref>
        </x14:conditionalFormatting>
        <x14:conditionalFormatting xmlns:xm="http://schemas.microsoft.com/office/excel/2006/main">
          <x14:cfRule type="dataBar" id="{BD880E8C-EB2D-40B7-AEF2-225D1A4DAE9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D39:D40</xm:sqref>
        </x14:conditionalFormatting>
        <x14:conditionalFormatting xmlns:xm="http://schemas.microsoft.com/office/excel/2006/main">
          <x14:cfRule type="dataBar" id="{0C84E893-32AA-40A6-B473-B425521286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N26:O27</xm:sqref>
        </x14:conditionalFormatting>
        <x14:conditionalFormatting xmlns:xm="http://schemas.microsoft.com/office/excel/2006/main">
          <x14:cfRule type="dataBar" id="{DAD607AC-100E-476F-92A2-78AB917E71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N26:O28</xm:sqref>
        </x14:conditionalFormatting>
        <x14:conditionalFormatting xmlns:xm="http://schemas.microsoft.com/office/excel/2006/main">
          <x14:cfRule type="dataBar" id="{99903DA5-31AE-4633-884C-21746FCA774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E20</xm:sqref>
        </x14:conditionalFormatting>
        <x14:conditionalFormatting xmlns:xm="http://schemas.microsoft.com/office/excel/2006/main">
          <x14:cfRule type="dataBar" id="{10A9B99A-9DED-4109-B513-3C453D00332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C30 C32</xm:sqref>
        </x14:conditionalFormatting>
        <x14:conditionalFormatting xmlns:xm="http://schemas.microsoft.com/office/excel/2006/main">
          <x14:cfRule type="dataBar" id="{8E27123C-D27A-4886-B381-08D14F7280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D30 D32</xm:sqref>
        </x14:conditionalFormatting>
        <x14:conditionalFormatting xmlns:xm="http://schemas.microsoft.com/office/excel/2006/main">
          <x14:cfRule type="dataBar" id="{71478E9A-BD3E-426B-8658-5EA334C97C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E30 E32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5:N33"/>
  <sheetViews>
    <sheetView showGridLines="0" showRowColHeaders="0" workbookViewId="0">
      <selection activeCell="D19" sqref="D19:F19"/>
    </sheetView>
  </sheetViews>
  <sheetFormatPr defaultRowHeight="14.25" x14ac:dyDescent="0.2"/>
  <cols>
    <col min="1" max="5" width="9" style="26"/>
    <col min="6" max="6" width="14.125" style="26" customWidth="1"/>
    <col min="7" max="16384" width="9" style="26"/>
  </cols>
  <sheetData>
    <row r="15" spans="2:9" ht="15.75" x14ac:dyDescent="0.25">
      <c r="B15" s="24"/>
      <c r="C15" s="24"/>
      <c r="D15" s="25"/>
      <c r="E15" s="25"/>
      <c r="F15" s="25"/>
      <c r="G15" s="25"/>
      <c r="H15" s="25"/>
    </row>
    <row r="16" spans="2:9" ht="15.75" x14ac:dyDescent="0.25">
      <c r="B16" s="24"/>
      <c r="C16" s="24"/>
      <c r="D16" s="25"/>
      <c r="E16" s="25"/>
      <c r="F16" s="25"/>
      <c r="G16" s="25"/>
      <c r="H16" s="25"/>
      <c r="I16" s="8" t="s">
        <v>210</v>
      </c>
    </row>
    <row r="17" spans="2:14" ht="15.75" x14ac:dyDescent="0.25">
      <c r="B17" s="146" t="s">
        <v>196</v>
      </c>
      <c r="C17" s="147"/>
      <c r="D17" s="153" t="str">
        <f>DTGroup!F13</f>
        <v>0</v>
      </c>
      <c r="E17" s="153"/>
      <c r="F17" s="153"/>
      <c r="G17" s="25"/>
      <c r="H17" s="25"/>
    </row>
    <row r="18" spans="2:14" ht="15.75" x14ac:dyDescent="0.25">
      <c r="B18" s="24"/>
      <c r="C18" s="25"/>
      <c r="D18" s="148"/>
      <c r="E18" s="148"/>
      <c r="F18" s="25"/>
      <c r="G18" s="25"/>
      <c r="H18" s="25"/>
      <c r="I18" s="148" t="s">
        <v>211</v>
      </c>
      <c r="J18" s="148"/>
      <c r="K18" s="148"/>
      <c r="L18" s="149" t="s">
        <v>212</v>
      </c>
      <c r="M18" s="150"/>
      <c r="N18" s="151"/>
    </row>
    <row r="19" spans="2:14" ht="15.75" x14ac:dyDescent="0.25">
      <c r="B19" s="146" t="s">
        <v>213</v>
      </c>
      <c r="C19" s="147"/>
      <c r="D19" s="152" t="e">
        <f>TrainingVenue!B26</f>
        <v>#N/A</v>
      </c>
      <c r="E19" s="152"/>
      <c r="F19" s="152"/>
      <c r="G19" s="25"/>
      <c r="H19" s="25"/>
    </row>
    <row r="20" spans="2:14" ht="15.75" x14ac:dyDescent="0.25">
      <c r="B20" s="24"/>
      <c r="C20" s="24"/>
      <c r="D20" s="25"/>
      <c r="E20" s="25"/>
      <c r="F20" s="25"/>
      <c r="G20" s="25"/>
      <c r="H20" s="25"/>
      <c r="I20"/>
      <c r="J20"/>
      <c r="K20"/>
      <c r="L20"/>
      <c r="M20"/>
      <c r="N20"/>
    </row>
    <row r="33" spans="8:9" ht="15.75" x14ac:dyDescent="0.25">
      <c r="H33" s="134"/>
      <c r="I33" s="134"/>
    </row>
  </sheetData>
  <sheetProtection algorithmName="SHA-512" hashValue="LDRRjMakSVXNCymW2eQ8/6FdC4J3Is0ixqDvszzbgv4JiU4NFnS9ACrlzCIdrkGDjvZKrJeIgrdluFGjfGov5A==" saltValue="c7gQsL3ulcMl0nIm9on/sw==" spinCount="100000" sheet="1" objects="1" scenarios="1"/>
  <mergeCells count="8">
    <mergeCell ref="H33:I33"/>
    <mergeCell ref="B17:C17"/>
    <mergeCell ref="B19:C19"/>
    <mergeCell ref="I18:K18"/>
    <mergeCell ref="L18:N18"/>
    <mergeCell ref="D19:F19"/>
    <mergeCell ref="D17:F17"/>
    <mergeCell ref="D18:E18"/>
  </mergeCells>
  <conditionalFormatting sqref="H33:I3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{27E7AE1B-EE27-4968-A904-9137595515F9}</x14:id>
        </ext>
      </extLst>
    </cfRule>
  </conditionalFormatting>
  <conditionalFormatting sqref="H33:I33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{2EB40F18-BDD1-4538-A65F-077D5739D046}</x14:id>
        </ext>
      </extLs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avNam">
                <anchor>
                  <from>
                    <xdr:col>3</xdr:col>
                    <xdr:colOff>133350</xdr:colOff>
                    <xdr:row>21</xdr:row>
                    <xdr:rowOff>133350</xdr:rowOff>
                  </from>
                  <to>
                    <xdr:col>4</xdr:col>
                    <xdr:colOff>352425</xdr:colOff>
                    <xdr:row>23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7E7AE1B-EE27-4968-A904-9137595515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H33:I33</xm:sqref>
        </x14:conditionalFormatting>
        <x14:conditionalFormatting xmlns:xm="http://schemas.microsoft.com/office/excel/2006/main">
          <x14:cfRule type="dataBar" id="{2EB40F18-BDD1-4538-A65F-077D5739D04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H33:I33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1"/>
  <sheetViews>
    <sheetView topLeftCell="A4" workbookViewId="0">
      <selection activeCell="D10" sqref="D10"/>
    </sheetView>
  </sheetViews>
  <sheetFormatPr defaultRowHeight="15.75" x14ac:dyDescent="0.2"/>
  <cols>
    <col min="1" max="1" width="9.25" style="97" bestFit="1" customWidth="1"/>
    <col min="2" max="2" width="20.75" style="97" bestFit="1" customWidth="1"/>
    <col min="3" max="3" width="30.375" style="97" bestFit="1" customWidth="1"/>
    <col min="4" max="4" width="27.5" style="97" bestFit="1" customWidth="1"/>
    <col min="5" max="5" width="11.5" style="97" customWidth="1"/>
    <col min="6" max="6" width="32.75" style="97" customWidth="1"/>
    <col min="7" max="8" width="9" style="97"/>
    <col min="9" max="9" width="13.875" style="97" bestFit="1" customWidth="1"/>
    <col min="10" max="16384" width="9" style="97"/>
  </cols>
  <sheetData>
    <row r="1" spans="1:9" x14ac:dyDescent="0.2">
      <c r="A1" s="102" t="s">
        <v>9</v>
      </c>
      <c r="B1" s="102" t="s">
        <v>180</v>
      </c>
      <c r="C1" s="102" t="s">
        <v>181</v>
      </c>
      <c r="D1" s="102" t="s">
        <v>182</v>
      </c>
    </row>
    <row r="2" spans="1:9" x14ac:dyDescent="0.2">
      <c r="A2" s="96" t="s">
        <v>111</v>
      </c>
      <c r="B2" s="96" t="s">
        <v>151</v>
      </c>
      <c r="C2" s="96" t="s">
        <v>152</v>
      </c>
      <c r="D2" s="96" t="s">
        <v>153</v>
      </c>
    </row>
    <row r="3" spans="1:9" x14ac:dyDescent="0.2">
      <c r="A3" s="96" t="s">
        <v>111</v>
      </c>
      <c r="B3" s="96" t="s">
        <v>154</v>
      </c>
      <c r="C3" s="96" t="s">
        <v>155</v>
      </c>
      <c r="D3" s="96" t="s">
        <v>156</v>
      </c>
      <c r="F3" s="98" t="s">
        <v>180</v>
      </c>
      <c r="I3" s="98"/>
    </row>
    <row r="4" spans="1:9" x14ac:dyDescent="0.2">
      <c r="A4" s="96" t="s">
        <v>321</v>
      </c>
      <c r="B4" s="96" t="s">
        <v>293</v>
      </c>
      <c r="C4" s="96" t="s">
        <v>294</v>
      </c>
      <c r="D4" s="96" t="s">
        <v>295</v>
      </c>
      <c r="F4" s="6">
        <f>TAR!G17</f>
        <v>0</v>
      </c>
    </row>
    <row r="5" spans="1:9" x14ac:dyDescent="0.2">
      <c r="A5" s="96" t="s">
        <v>321</v>
      </c>
      <c r="B5" s="96" t="s">
        <v>296</v>
      </c>
      <c r="C5" s="96" t="s">
        <v>297</v>
      </c>
      <c r="D5" s="96" t="s">
        <v>298</v>
      </c>
      <c r="E5" s="99"/>
    </row>
    <row r="6" spans="1:9" x14ac:dyDescent="0.2">
      <c r="A6" s="96" t="s">
        <v>112</v>
      </c>
      <c r="B6" s="96" t="s">
        <v>157</v>
      </c>
      <c r="C6" s="96" t="s">
        <v>158</v>
      </c>
      <c r="D6" s="96" t="s">
        <v>159</v>
      </c>
      <c r="E6" s="100"/>
      <c r="F6" s="98" t="s">
        <v>183</v>
      </c>
    </row>
    <row r="7" spans="1:9" x14ac:dyDescent="0.2">
      <c r="A7" s="96" t="s">
        <v>112</v>
      </c>
      <c r="B7" s="96" t="s">
        <v>160</v>
      </c>
      <c r="C7" s="96" t="s">
        <v>161</v>
      </c>
      <c r="D7" s="96" t="s">
        <v>162</v>
      </c>
      <c r="E7" s="100"/>
      <c r="F7" s="97" t="e">
        <f>VLOOKUP(F4,B2:D21,2,FALSE)</f>
        <v>#N/A</v>
      </c>
    </row>
    <row r="8" spans="1:9" x14ac:dyDescent="0.2">
      <c r="A8" s="96" t="s">
        <v>251</v>
      </c>
      <c r="B8" s="96" t="s">
        <v>302</v>
      </c>
      <c r="C8" s="96" t="s">
        <v>303</v>
      </c>
      <c r="D8" s="96" t="s">
        <v>304</v>
      </c>
      <c r="E8" s="100"/>
    </row>
    <row r="9" spans="1:9" x14ac:dyDescent="0.2">
      <c r="A9" s="96" t="s">
        <v>251</v>
      </c>
      <c r="B9" s="96" t="s">
        <v>299</v>
      </c>
      <c r="C9" s="96" t="s">
        <v>300</v>
      </c>
      <c r="D9" s="96" t="s">
        <v>301</v>
      </c>
      <c r="E9" s="100"/>
      <c r="F9" s="98" t="s">
        <v>184</v>
      </c>
    </row>
    <row r="10" spans="1:9" x14ac:dyDescent="0.2">
      <c r="A10" s="96" t="s">
        <v>113</v>
      </c>
      <c r="B10" s="96" t="s">
        <v>163</v>
      </c>
      <c r="C10" s="96" t="s">
        <v>164</v>
      </c>
      <c r="D10" s="96" t="s">
        <v>165</v>
      </c>
      <c r="E10" s="100"/>
      <c r="F10" s="97" t="e">
        <f>VLOOKUP(F4,B2:D21,3,FALSE)</f>
        <v>#N/A</v>
      </c>
    </row>
    <row r="11" spans="1:9" x14ac:dyDescent="0.2">
      <c r="A11" s="96" t="s">
        <v>113</v>
      </c>
      <c r="B11" s="96" t="s">
        <v>166</v>
      </c>
      <c r="C11" s="96" t="s">
        <v>167</v>
      </c>
      <c r="D11" s="96" t="s">
        <v>168</v>
      </c>
      <c r="E11" s="100"/>
    </row>
    <row r="12" spans="1:9" x14ac:dyDescent="0.2">
      <c r="A12" s="96" t="s">
        <v>14</v>
      </c>
      <c r="B12" s="96" t="s">
        <v>305</v>
      </c>
      <c r="C12" s="96" t="s">
        <v>306</v>
      </c>
      <c r="D12" s="96" t="s">
        <v>307</v>
      </c>
      <c r="E12" s="100"/>
      <c r="F12" s="98" t="s">
        <v>197</v>
      </c>
    </row>
    <row r="13" spans="1:9" x14ac:dyDescent="0.2">
      <c r="A13" s="96" t="s">
        <v>14</v>
      </c>
      <c r="B13" s="96" t="s">
        <v>308</v>
      </c>
      <c r="C13" s="96" t="s">
        <v>309</v>
      </c>
      <c r="D13" s="96" t="s">
        <v>310</v>
      </c>
      <c r="E13" s="100"/>
      <c r="F13" s="6" t="str">
        <f>SUBSTITUTE(RIGHT(F4,11), " - ", "")</f>
        <v>0</v>
      </c>
    </row>
    <row r="14" spans="1:9" x14ac:dyDescent="0.2">
      <c r="A14" s="96" t="s">
        <v>114</v>
      </c>
      <c r="B14" s="96" t="s">
        <v>169</v>
      </c>
      <c r="C14" s="96" t="s">
        <v>170</v>
      </c>
      <c r="D14" s="96" t="s">
        <v>171</v>
      </c>
      <c r="E14" s="100"/>
    </row>
    <row r="15" spans="1:9" x14ac:dyDescent="0.2">
      <c r="A15" s="96" t="s">
        <v>114</v>
      </c>
      <c r="B15" s="96" t="s">
        <v>172</v>
      </c>
      <c r="C15" s="96" t="s">
        <v>173</v>
      </c>
      <c r="D15" s="96" t="s">
        <v>174</v>
      </c>
      <c r="E15" s="100"/>
    </row>
    <row r="16" spans="1:9" x14ac:dyDescent="0.2">
      <c r="A16" s="96" t="s">
        <v>252</v>
      </c>
      <c r="B16" s="96" t="s">
        <v>314</v>
      </c>
      <c r="C16" s="96" t="s">
        <v>315</v>
      </c>
      <c r="D16" s="96" t="s">
        <v>316</v>
      </c>
      <c r="E16" s="100"/>
    </row>
    <row r="17" spans="1:4" x14ac:dyDescent="0.2">
      <c r="A17" s="96" t="s">
        <v>252</v>
      </c>
      <c r="B17" s="96" t="s">
        <v>311</v>
      </c>
      <c r="C17" s="96" t="s">
        <v>312</v>
      </c>
      <c r="D17" s="96" t="s">
        <v>313</v>
      </c>
    </row>
    <row r="18" spans="1:4" x14ac:dyDescent="0.2">
      <c r="A18" s="96" t="s">
        <v>115</v>
      </c>
      <c r="B18" s="96" t="s">
        <v>175</v>
      </c>
      <c r="C18" s="96" t="s">
        <v>322</v>
      </c>
      <c r="D18" s="96" t="s">
        <v>176</v>
      </c>
    </row>
    <row r="19" spans="1:4" x14ac:dyDescent="0.2">
      <c r="A19" s="96" t="s">
        <v>115</v>
      </c>
      <c r="B19" s="96" t="s">
        <v>177</v>
      </c>
      <c r="C19" s="96" t="s">
        <v>178</v>
      </c>
      <c r="D19" s="96" t="s">
        <v>179</v>
      </c>
    </row>
    <row r="20" spans="1:4" x14ac:dyDescent="0.25">
      <c r="A20" s="96" t="s">
        <v>16</v>
      </c>
      <c r="B20" s="96" t="s">
        <v>320</v>
      </c>
      <c r="C20" s="105" t="s">
        <v>323</v>
      </c>
      <c r="D20" s="105" t="s">
        <v>324</v>
      </c>
    </row>
    <row r="21" spans="1:4" x14ac:dyDescent="0.2">
      <c r="A21" s="96" t="s">
        <v>16</v>
      </c>
      <c r="B21" s="96" t="s">
        <v>317</v>
      </c>
      <c r="C21" s="96" t="s">
        <v>318</v>
      </c>
      <c r="D21" s="96" t="s">
        <v>319</v>
      </c>
    </row>
  </sheetData>
  <sheetProtection algorithmName="SHA-512" hashValue="B2MWgzhSq1R9MzZ6cl3UyKaSL2XSPVO44XZ57uOVt7spLRdzlxI6rJvmrX2yZIs5Gt6KGw1YrduQ7h+Y7Lw0WQ==" saltValue="FFnAdKAqOcs6ZBB+P3NFMQ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34"/>
  <sheetViews>
    <sheetView topLeftCell="A16" workbookViewId="0">
      <selection activeCell="G15" sqref="G15"/>
    </sheetView>
  </sheetViews>
  <sheetFormatPr defaultRowHeight="14.25" x14ac:dyDescent="0.2"/>
  <cols>
    <col min="1" max="1" width="3.75" bestFit="1" customWidth="1"/>
    <col min="2" max="2" width="16.5" bestFit="1" customWidth="1"/>
    <col min="3" max="3" width="50.5" bestFit="1" customWidth="1"/>
    <col min="4" max="4" width="7.125" bestFit="1" customWidth="1"/>
  </cols>
  <sheetData>
    <row r="1" spans="1:4" ht="15" x14ac:dyDescent="0.25">
      <c r="A1" s="84" t="s">
        <v>241</v>
      </c>
      <c r="B1" s="85" t="s">
        <v>18</v>
      </c>
      <c r="C1" s="85" t="s">
        <v>19</v>
      </c>
      <c r="D1" s="86" t="s">
        <v>146</v>
      </c>
    </row>
    <row r="2" spans="1:4" x14ac:dyDescent="0.2">
      <c r="A2" s="87">
        <v>1</v>
      </c>
      <c r="B2" s="88" t="s">
        <v>144</v>
      </c>
      <c r="C2" s="88" t="s">
        <v>145</v>
      </c>
      <c r="D2" s="88" t="s">
        <v>147</v>
      </c>
    </row>
    <row r="3" spans="1:4" x14ac:dyDescent="0.2">
      <c r="A3" s="89">
        <v>2</v>
      </c>
      <c r="B3" s="90" t="s">
        <v>55</v>
      </c>
      <c r="C3" s="90" t="s">
        <v>56</v>
      </c>
      <c r="D3" s="91" t="s">
        <v>147</v>
      </c>
    </row>
    <row r="4" spans="1:4" x14ac:dyDescent="0.2">
      <c r="A4" s="87">
        <v>3</v>
      </c>
      <c r="B4" s="88" t="s">
        <v>47</v>
      </c>
      <c r="C4" s="88" t="s">
        <v>48</v>
      </c>
      <c r="D4" s="88" t="s">
        <v>149</v>
      </c>
    </row>
    <row r="5" spans="1:4" x14ac:dyDescent="0.2">
      <c r="A5" s="89">
        <v>4</v>
      </c>
      <c r="B5" s="90" t="s">
        <v>62</v>
      </c>
      <c r="C5" s="90" t="s">
        <v>63</v>
      </c>
      <c r="D5" s="91" t="s">
        <v>148</v>
      </c>
    </row>
    <row r="6" spans="1:4" x14ac:dyDescent="0.2">
      <c r="A6" s="87">
        <v>5</v>
      </c>
      <c r="B6" s="88" t="s">
        <v>50</v>
      </c>
      <c r="C6" s="88" t="s">
        <v>51</v>
      </c>
      <c r="D6" s="88" t="s">
        <v>149</v>
      </c>
    </row>
    <row r="7" spans="1:4" x14ac:dyDescent="0.2">
      <c r="A7" s="89">
        <v>6</v>
      </c>
      <c r="B7" s="90" t="s">
        <v>20</v>
      </c>
      <c r="C7" s="90" t="s">
        <v>21</v>
      </c>
      <c r="D7" s="91" t="s">
        <v>147</v>
      </c>
    </row>
    <row r="8" spans="1:4" x14ac:dyDescent="0.2">
      <c r="A8" s="87">
        <v>7</v>
      </c>
      <c r="B8" s="88" t="s">
        <v>22</v>
      </c>
      <c r="C8" s="88" t="s">
        <v>23</v>
      </c>
      <c r="D8" s="88" t="s">
        <v>147</v>
      </c>
    </row>
    <row r="9" spans="1:4" x14ac:dyDescent="0.2">
      <c r="A9" s="89">
        <v>8</v>
      </c>
      <c r="B9" s="90" t="s">
        <v>53</v>
      </c>
      <c r="C9" s="90" t="s">
        <v>54</v>
      </c>
      <c r="D9" s="91" t="s">
        <v>147</v>
      </c>
    </row>
    <row r="10" spans="1:4" x14ac:dyDescent="0.2">
      <c r="A10" s="87">
        <v>9</v>
      </c>
      <c r="B10" s="88" t="s">
        <v>38</v>
      </c>
      <c r="C10" s="88" t="s">
        <v>209</v>
      </c>
      <c r="D10" s="88" t="s">
        <v>148</v>
      </c>
    </row>
    <row r="11" spans="1:4" x14ac:dyDescent="0.2">
      <c r="A11" s="89">
        <v>10</v>
      </c>
      <c r="B11" s="90" t="s">
        <v>326</v>
      </c>
      <c r="C11" s="90" t="s">
        <v>327</v>
      </c>
      <c r="D11" s="91" t="s">
        <v>148</v>
      </c>
    </row>
    <row r="12" spans="1:4" x14ac:dyDescent="0.2">
      <c r="A12" s="87">
        <v>11</v>
      </c>
      <c r="B12" s="88" t="s">
        <v>68</v>
      </c>
      <c r="C12" s="88" t="s">
        <v>69</v>
      </c>
      <c r="D12" s="88" t="s">
        <v>149</v>
      </c>
    </row>
    <row r="13" spans="1:4" x14ac:dyDescent="0.2">
      <c r="A13" s="89">
        <v>12</v>
      </c>
      <c r="B13" s="90" t="s">
        <v>70</v>
      </c>
      <c r="C13" s="90" t="s">
        <v>71</v>
      </c>
      <c r="D13" s="91" t="s">
        <v>149</v>
      </c>
    </row>
    <row r="14" spans="1:4" x14ac:dyDescent="0.2">
      <c r="A14" s="87">
        <v>13</v>
      </c>
      <c r="B14" s="88" t="s">
        <v>66</v>
      </c>
      <c r="C14" s="88" t="s">
        <v>67</v>
      </c>
      <c r="D14" s="88" t="s">
        <v>149</v>
      </c>
    </row>
    <row r="15" spans="1:4" x14ac:dyDescent="0.2">
      <c r="A15" s="89">
        <v>14</v>
      </c>
      <c r="B15" s="90" t="s">
        <v>14</v>
      </c>
      <c r="C15" s="90" t="s">
        <v>52</v>
      </c>
      <c r="D15" s="91" t="s">
        <v>149</v>
      </c>
    </row>
    <row r="16" spans="1:4" x14ac:dyDescent="0.2">
      <c r="A16" s="87">
        <v>15</v>
      </c>
      <c r="B16" s="88" t="s">
        <v>36</v>
      </c>
      <c r="C16" s="88" t="s">
        <v>37</v>
      </c>
      <c r="D16" s="88" t="s">
        <v>147</v>
      </c>
    </row>
    <row r="17" spans="1:4" x14ac:dyDescent="0.2">
      <c r="A17" s="89">
        <v>16</v>
      </c>
      <c r="B17" s="90" t="s">
        <v>34</v>
      </c>
      <c r="C17" s="90" t="s">
        <v>35</v>
      </c>
      <c r="D17" s="91" t="s">
        <v>147</v>
      </c>
    </row>
    <row r="18" spans="1:4" x14ac:dyDescent="0.2">
      <c r="A18" s="87">
        <v>17</v>
      </c>
      <c r="B18" s="88" t="s">
        <v>8</v>
      </c>
      <c r="C18" s="88" t="s">
        <v>46</v>
      </c>
      <c r="D18" s="88" t="s">
        <v>149</v>
      </c>
    </row>
    <row r="19" spans="1:4" x14ac:dyDescent="0.2">
      <c r="A19" s="89">
        <v>18</v>
      </c>
      <c r="B19" s="90" t="s">
        <v>44</v>
      </c>
      <c r="C19" s="90" t="s">
        <v>45</v>
      </c>
      <c r="D19" s="91" t="s">
        <v>149</v>
      </c>
    </row>
    <row r="20" spans="1:4" x14ac:dyDescent="0.2">
      <c r="A20" s="87">
        <v>19</v>
      </c>
      <c r="B20" s="88" t="s">
        <v>114</v>
      </c>
      <c r="C20" s="88" t="s">
        <v>245</v>
      </c>
      <c r="D20" s="88" t="s">
        <v>147</v>
      </c>
    </row>
    <row r="21" spans="1:4" x14ac:dyDescent="0.2">
      <c r="A21" s="89">
        <v>20</v>
      </c>
      <c r="B21" s="90" t="s">
        <v>59</v>
      </c>
      <c r="C21" s="90" t="s">
        <v>60</v>
      </c>
      <c r="D21" s="91" t="s">
        <v>147</v>
      </c>
    </row>
    <row r="22" spans="1:4" x14ac:dyDescent="0.2">
      <c r="A22" s="87">
        <v>21</v>
      </c>
      <c r="B22" s="88" t="s">
        <v>30</v>
      </c>
      <c r="C22" s="88" t="s">
        <v>31</v>
      </c>
      <c r="D22" s="88" t="s">
        <v>147</v>
      </c>
    </row>
    <row r="23" spans="1:4" x14ac:dyDescent="0.2">
      <c r="A23" s="89">
        <v>22</v>
      </c>
      <c r="B23" s="90" t="s">
        <v>32</v>
      </c>
      <c r="C23" s="90" t="s">
        <v>33</v>
      </c>
      <c r="D23" s="91" t="s">
        <v>147</v>
      </c>
    </row>
    <row r="24" spans="1:4" x14ac:dyDescent="0.2">
      <c r="A24" s="87">
        <v>23</v>
      </c>
      <c r="B24" s="88" t="s">
        <v>215</v>
      </c>
      <c r="C24" s="88" t="s">
        <v>61</v>
      </c>
      <c r="D24" s="88" t="s">
        <v>147</v>
      </c>
    </row>
    <row r="25" spans="1:4" x14ac:dyDescent="0.2">
      <c r="A25" s="89">
        <v>24</v>
      </c>
      <c r="B25" s="90" t="s">
        <v>28</v>
      </c>
      <c r="C25" s="90" t="s">
        <v>29</v>
      </c>
      <c r="D25" s="91" t="s">
        <v>147</v>
      </c>
    </row>
    <row r="26" spans="1:4" x14ac:dyDescent="0.2">
      <c r="A26" s="87">
        <v>25</v>
      </c>
      <c r="B26" s="88" t="s">
        <v>246</v>
      </c>
      <c r="C26" s="88" t="s">
        <v>41</v>
      </c>
      <c r="D26" s="88" t="s">
        <v>148</v>
      </c>
    </row>
    <row r="27" spans="1:4" x14ac:dyDescent="0.2">
      <c r="A27" s="89">
        <v>26</v>
      </c>
      <c r="B27" s="90" t="s">
        <v>26</v>
      </c>
      <c r="C27" s="90" t="s">
        <v>27</v>
      </c>
      <c r="D27" s="91" t="s">
        <v>147</v>
      </c>
    </row>
    <row r="28" spans="1:4" x14ac:dyDescent="0.2">
      <c r="A28" s="87">
        <v>27</v>
      </c>
      <c r="B28" s="88" t="s">
        <v>39</v>
      </c>
      <c r="C28" s="88" t="s">
        <v>40</v>
      </c>
      <c r="D28" s="88" t="s">
        <v>148</v>
      </c>
    </row>
    <row r="29" spans="1:4" x14ac:dyDescent="0.2">
      <c r="A29" s="89">
        <v>28</v>
      </c>
      <c r="B29" s="90" t="s">
        <v>243</v>
      </c>
      <c r="C29" s="90" t="s">
        <v>244</v>
      </c>
      <c r="D29" s="91" t="s">
        <v>147</v>
      </c>
    </row>
    <row r="30" spans="1:4" x14ac:dyDescent="0.2">
      <c r="A30" s="87">
        <v>29</v>
      </c>
      <c r="B30" s="88" t="s">
        <v>42</v>
      </c>
      <c r="C30" s="88" t="s">
        <v>43</v>
      </c>
      <c r="D30" s="88" t="s">
        <v>149</v>
      </c>
    </row>
    <row r="31" spans="1:4" x14ac:dyDescent="0.2">
      <c r="A31" s="89">
        <v>30</v>
      </c>
      <c r="B31" s="90" t="s">
        <v>64</v>
      </c>
      <c r="C31" s="90" t="s">
        <v>65</v>
      </c>
      <c r="D31" s="91" t="s">
        <v>149</v>
      </c>
    </row>
    <row r="32" spans="1:4" x14ac:dyDescent="0.2">
      <c r="A32" s="87">
        <v>31</v>
      </c>
      <c r="B32" s="88" t="s">
        <v>16</v>
      </c>
      <c r="C32" s="88" t="s">
        <v>49</v>
      </c>
      <c r="D32" s="88" t="s">
        <v>149</v>
      </c>
    </row>
    <row r="33" spans="1:4" x14ac:dyDescent="0.2">
      <c r="A33" s="89">
        <v>32</v>
      </c>
      <c r="B33" s="90" t="s">
        <v>57</v>
      </c>
      <c r="C33" s="90" t="s">
        <v>58</v>
      </c>
      <c r="D33" s="91" t="s">
        <v>147</v>
      </c>
    </row>
    <row r="34" spans="1:4" x14ac:dyDescent="0.2">
      <c r="A34" s="87">
        <v>33</v>
      </c>
      <c r="B34" s="88" t="s">
        <v>24</v>
      </c>
      <c r="C34" s="88" t="s">
        <v>25</v>
      </c>
      <c r="D34" s="88" t="s">
        <v>147</v>
      </c>
    </row>
  </sheetData>
  <sheetProtection algorithmName="SHA-512" hashValue="+zP50ey+A4bJWi85dAFZlgfzdn7HF5Dddr20SPqjHWP/9EWxuJMHs6VHdOxc/s35YlvhnyS5UoOa/YLFLiYSJA==" saltValue="F4h7gtteeFllYaUwuIBkLQ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TAR</vt:lpstr>
      <vt:lpstr>SA</vt:lpstr>
      <vt:lpstr>Overview</vt:lpstr>
      <vt:lpstr>Email</vt:lpstr>
      <vt:lpstr>Designation</vt:lpstr>
      <vt:lpstr>District</vt:lpstr>
      <vt:lpstr>DistrictCode</vt:lpstr>
      <vt:lpstr>Upazila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2016-06-12T09:43:44Z</dcterms:modified>
</cp:coreProperties>
</file>