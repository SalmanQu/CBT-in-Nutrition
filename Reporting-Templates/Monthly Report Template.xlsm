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workbookProtection workbookAlgorithmName="SHA-512" workbookHashValue="TI//J/NPIY1EZqPqvre01Fr8KCEuqdqFFmua58tVi35uoKRErVOEAxiIoapqZjT+5rHc2jVPgPuwMerrAt1c5A==" workbookSaltValue="2PZHZHWc9Z1V2fO4MHj3tg==" workbookSpinCount="100000" lockStructure="1"/>
  <bookViews>
    <workbookView xWindow="0" yWindow="0" windowWidth="22260" windowHeight="12645"/>
  </bookViews>
  <sheets>
    <sheet name="DR" sheetId="1" r:id="rId1"/>
    <sheet name="Email" sheetId="9" r:id="rId2"/>
    <sheet name="TrainingVenue" sheetId="5" state="veryHidden" r:id="rId3"/>
    <sheet name="DTGroup" sheetId="7" state="veryHidden" r:id="rId4"/>
    <sheet name="Date" sheetId="6" state="veryHidden" r:id="rId5"/>
  </sheets>
  <definedNames>
    <definedName name="District">TrainingVenue!$A$2:$A$10</definedName>
    <definedName name="DistrictCode">TrainingVenue!$B$2:$B$10</definedName>
    <definedName name="Upazila">TrainingVenue!$C$2:$S$10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6" l="1"/>
  <c r="H13" i="6"/>
  <c r="G13" i="6"/>
  <c r="I6" i="6"/>
  <c r="H6" i="6"/>
  <c r="G6" i="6"/>
  <c r="F4" i="7" l="1"/>
  <c r="F7" i="7" s="1"/>
  <c r="F13" i="7" l="1"/>
  <c r="F10" i="7"/>
  <c r="G8" i="6" l="1"/>
  <c r="G10" i="6"/>
  <c r="A15" i="5"/>
  <c r="R15" i="5" s="1"/>
  <c r="D19" i="1"/>
  <c r="D17" i="9" l="1"/>
  <c r="D17" i="1"/>
  <c r="C15" i="5"/>
  <c r="G15" i="5"/>
  <c r="K15" i="5"/>
  <c r="O15" i="5"/>
  <c r="S15" i="5"/>
  <c r="D15" i="5"/>
  <c r="H15" i="5"/>
  <c r="L15" i="5"/>
  <c r="P15" i="5"/>
  <c r="E15" i="5"/>
  <c r="I15" i="5"/>
  <c r="M15" i="5"/>
  <c r="Q15" i="5"/>
  <c r="B15" i="5"/>
  <c r="B18" i="5" s="1"/>
  <c r="D19" i="9" s="1"/>
  <c r="F15" i="5"/>
  <c r="J15" i="5"/>
  <c r="N15" i="5"/>
</calcChain>
</file>

<file path=xl/sharedStrings.xml><?xml version="1.0" encoding="utf-8"?>
<sst xmlns="http://schemas.openxmlformats.org/spreadsheetml/2006/main" count="243" uniqueCount="204">
  <si>
    <t>District:</t>
  </si>
  <si>
    <t>District</t>
  </si>
  <si>
    <t>Pirojpur</t>
  </si>
  <si>
    <t>Chapai Nawabganj</t>
  </si>
  <si>
    <t>Chuadanga</t>
  </si>
  <si>
    <t>Faridpur</t>
  </si>
  <si>
    <t>Moulvibazar</t>
  </si>
  <si>
    <t>Bhandaria</t>
  </si>
  <si>
    <t>CS Office</t>
  </si>
  <si>
    <t>Nazirpur</t>
  </si>
  <si>
    <t>Pirojpur Sadar</t>
  </si>
  <si>
    <t>Nesarabad</t>
  </si>
  <si>
    <t>Zianagor</t>
  </si>
  <si>
    <t>Gomastapur</t>
  </si>
  <si>
    <t>Alamdanga</t>
  </si>
  <si>
    <t>Damurhuda</t>
  </si>
  <si>
    <t>Chuadanga Sadar</t>
  </si>
  <si>
    <t>Jibannagar</t>
  </si>
  <si>
    <t>Juri</t>
  </si>
  <si>
    <t>Bholahat</t>
  </si>
  <si>
    <t>Chapai Nawabganj Sadar</t>
  </si>
  <si>
    <t>Shibganj</t>
  </si>
  <si>
    <t>Bhanga</t>
  </si>
  <si>
    <t>Boalmari</t>
  </si>
  <si>
    <t>Alfadanga</t>
  </si>
  <si>
    <t>Nagarkanda</t>
  </si>
  <si>
    <t>Sadarpur</t>
  </si>
  <si>
    <t>Faridpur Sadar</t>
  </si>
  <si>
    <t>Saltha</t>
  </si>
  <si>
    <t>Rajnagar</t>
  </si>
  <si>
    <t>Moulvibazar Sadar</t>
  </si>
  <si>
    <t>Kamalganj</t>
  </si>
  <si>
    <t>Barlekha</t>
  </si>
  <si>
    <t>Kulaura</t>
  </si>
  <si>
    <t>Venue Staging Table</t>
  </si>
  <si>
    <t>Start Date:</t>
  </si>
  <si>
    <t>End Date:</t>
  </si>
  <si>
    <t>Batch ID:</t>
  </si>
  <si>
    <t>District Code</t>
  </si>
  <si>
    <t>CN</t>
  </si>
  <si>
    <t>CH</t>
  </si>
  <si>
    <t>FA</t>
  </si>
  <si>
    <t>MO</t>
  </si>
  <si>
    <t>PI</t>
  </si>
  <si>
    <t>Days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</si>
  <si>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</si>
  <si>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</si>
  <si>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</si>
  <si>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</si>
  <si>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</si>
  <si>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</si>
  <si>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</si>
  <si>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</si>
  <si>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</si>
  <si>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</si>
  <si>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</si>
  <si>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</si>
  <si>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</si>
  <si>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</si>
  <si>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Day</t>
  </si>
  <si>
    <t>Month</t>
  </si>
  <si>
    <t>Group ID:</t>
  </si>
  <si>
    <t>CBT - DT - CN - GR - A</t>
  </si>
  <si>
    <t>Dr. Waliul Haque</t>
  </si>
  <si>
    <t>Mahmuda Akhtar</t>
  </si>
  <si>
    <t>CBT - DT - CN - GR - B</t>
  </si>
  <si>
    <t>Dr. Sharmin Chowdhury</t>
  </si>
  <si>
    <t>Dr. Md. Ruhul Amin Tuhin</t>
  </si>
  <si>
    <t>CBT - DT - CH - GR - A</t>
  </si>
  <si>
    <t>Mohammad Shahed Bablu</t>
  </si>
  <si>
    <t>Dr. Marjiya Aktar</t>
  </si>
  <si>
    <t>CBT - DT - CH - GR - B</t>
  </si>
  <si>
    <t>Dr. Md. Abdullah Sazzad Owaliullah</t>
  </si>
  <si>
    <t>Dr. Moumita Chowdhury</t>
  </si>
  <si>
    <t>CBT - DT - FA - GR - A</t>
  </si>
  <si>
    <t>Md. Khaledur Rashid</t>
  </si>
  <si>
    <t>Dr. Mst. Afroz Zahan Habiba</t>
  </si>
  <si>
    <t>CBT - DT - FA - GR - B</t>
  </si>
  <si>
    <t>Dr. Md. Redoanul Islam</t>
  </si>
  <si>
    <t>Dr. Sanzida Haque</t>
  </si>
  <si>
    <t>CBT - DT - MO - GR - A</t>
  </si>
  <si>
    <t>Dr. Kazi Nazrul Islam</t>
  </si>
  <si>
    <t>Nilima Azad</t>
  </si>
  <si>
    <t>CBT - DT - MO - GR - B</t>
  </si>
  <si>
    <t>Dr. Farhana Laila Lima</t>
  </si>
  <si>
    <t>Dr. Md. Munayem Hussain Khan</t>
  </si>
  <si>
    <t>CBT - DT - PI - GR - A</t>
  </si>
  <si>
    <t>Dr. Md. Shirajul Islam</t>
  </si>
  <si>
    <t>CBT - DT - PI - GR - B</t>
  </si>
  <si>
    <t>Dr. Abdul Hai</t>
  </si>
  <si>
    <t>Akhi Akter</t>
  </si>
  <si>
    <t>Group ID</t>
  </si>
  <si>
    <t>DT1</t>
  </si>
  <si>
    <t>DT2</t>
  </si>
  <si>
    <t>Trainer 1 Name</t>
  </si>
  <si>
    <t>Trainer 2 Name</t>
  </si>
  <si>
    <t>District Trainer 1:</t>
  </si>
  <si>
    <t>District Trainer 2:</t>
  </si>
  <si>
    <t>Email Subject:</t>
  </si>
  <si>
    <t>Nachole</t>
  </si>
  <si>
    <t>Madhukhali</t>
  </si>
  <si>
    <t>Charbhadrasan</t>
  </si>
  <si>
    <t>Sreemongal</t>
  </si>
  <si>
    <t>Kaukhali</t>
  </si>
  <si>
    <t>Mothbaria</t>
  </si>
  <si>
    <t>Mail to</t>
  </si>
  <si>
    <t>Message:</t>
  </si>
  <si>
    <t>Salman Quaiyum</t>
  </si>
  <si>
    <t>salman.quaiyum@gmail.com</t>
  </si>
  <si>
    <t>N</t>
  </si>
  <si>
    <t>Upazila 1:</t>
  </si>
  <si>
    <t>Upazila 2:</t>
  </si>
  <si>
    <t>Upazila 3:</t>
  </si>
  <si>
    <t>Upazila 4:</t>
  </si>
  <si>
    <t>Upazila 5:</t>
  </si>
  <si>
    <t>Upazila 6:</t>
  </si>
  <si>
    <t>Upazila 7:</t>
  </si>
  <si>
    <t>Upazila 8:</t>
  </si>
  <si>
    <t>Upazila 9:</t>
  </si>
  <si>
    <t>Upazila 10:</t>
  </si>
  <si>
    <t>Challenges Faced</t>
  </si>
  <si>
    <t>CC</t>
  </si>
  <si>
    <t>CBT - DT - CC - GR - A</t>
  </si>
  <si>
    <t>Dr. Rahatul Jannat Shifa</t>
  </si>
  <si>
    <t>Dr. Md. Mahmudul Hasan</t>
  </si>
  <si>
    <t>CBT - DT - CC - GR - B</t>
  </si>
  <si>
    <t>Dr. MD. Murad Mozumder</t>
  </si>
  <si>
    <t>Dr. Tazkia Tarannum</t>
  </si>
  <si>
    <t>CO</t>
  </si>
  <si>
    <t>CBT - DT - CO - GR - A</t>
  </si>
  <si>
    <t>Dr. Rufaida Mubaraka</t>
  </si>
  <si>
    <t>Rokunuzzaman</t>
  </si>
  <si>
    <t>CBT - DT - CO - GR - B</t>
  </si>
  <si>
    <t>Dr. Rabeya Ferdous</t>
  </si>
  <si>
    <t>Dr. Nazrul Islam</t>
  </si>
  <si>
    <t>HA</t>
  </si>
  <si>
    <t>CBT - DT - HA - GR - A</t>
  </si>
  <si>
    <t>Dr. Rowshon Ara Begum</t>
  </si>
  <si>
    <t>Dr. Mofazzal Hossain</t>
  </si>
  <si>
    <t>CBT - DT - HA - GR - B</t>
  </si>
  <si>
    <t>Mahbuba Akther</t>
  </si>
  <si>
    <t>Dr. Nirmal Kanti Ghose</t>
  </si>
  <si>
    <t>NI</t>
  </si>
  <si>
    <t>CBT - DT - NI - GR - A</t>
  </si>
  <si>
    <t>Dr. Abdullah Al-Noman</t>
  </si>
  <si>
    <t>Naznin Sultana</t>
  </si>
  <si>
    <t>CBT - DT - NI - GR - B</t>
  </si>
  <si>
    <t>Dr. Shaharin Hamid</t>
  </si>
  <si>
    <t>Dr. Saikat Roy</t>
  </si>
  <si>
    <t>SI</t>
  </si>
  <si>
    <t>CBT - DT - SI - GR - A</t>
  </si>
  <si>
    <t>CBT - DT - SI - GR - B</t>
  </si>
  <si>
    <t>Kamrun Nahar</t>
  </si>
  <si>
    <t>Dr. Jahid Hasan</t>
  </si>
  <si>
    <t>Comilla</t>
  </si>
  <si>
    <t>Barura</t>
  </si>
  <si>
    <t>Brahmmanpara</t>
  </si>
  <si>
    <t>Burichong</t>
  </si>
  <si>
    <t>Chaddagram</t>
  </si>
  <si>
    <t>Chandina</t>
  </si>
  <si>
    <t>Comilla Adarsha Sadar</t>
  </si>
  <si>
    <t>Comilla Sadar Daxin</t>
  </si>
  <si>
    <t>Daudkandi</t>
  </si>
  <si>
    <t>Debidwar</t>
  </si>
  <si>
    <t>Homna</t>
  </si>
  <si>
    <t>Lakhsam</t>
  </si>
  <si>
    <t>Meghna</t>
  </si>
  <si>
    <t>Monohargonj</t>
  </si>
  <si>
    <t>Muradnagar</t>
  </si>
  <si>
    <t>Nangolkot</t>
  </si>
  <si>
    <t>Titas</t>
  </si>
  <si>
    <t>Habiganj</t>
  </si>
  <si>
    <t>Azmiriganj</t>
  </si>
  <si>
    <t>Bahubal</t>
  </si>
  <si>
    <t>Baniachong</t>
  </si>
  <si>
    <t>Chunarughat</t>
  </si>
  <si>
    <t>Habiganj Sadar</t>
  </si>
  <si>
    <t>Lakhai</t>
  </si>
  <si>
    <t>Madhabpur</t>
  </si>
  <si>
    <t>Nabiganj</t>
  </si>
  <si>
    <t>Nilphamari</t>
  </si>
  <si>
    <t>Dimla</t>
  </si>
  <si>
    <t>Domar</t>
  </si>
  <si>
    <t>Jaldhaka</t>
  </si>
  <si>
    <t>Kishoreganj</t>
  </si>
  <si>
    <t>Nilphamari Sadar</t>
  </si>
  <si>
    <t>Saidpur</t>
  </si>
  <si>
    <t>Sirajganj</t>
  </si>
  <si>
    <t>Belkuchi</t>
  </si>
  <si>
    <t>Chowhali</t>
  </si>
  <si>
    <t>Kamarkanda</t>
  </si>
  <si>
    <t>Kazipur</t>
  </si>
  <si>
    <t>Raiganj</t>
  </si>
  <si>
    <t>Shahzadpur</t>
  </si>
  <si>
    <t>Sirajganj Sadar</t>
  </si>
  <si>
    <t>Tarash</t>
  </si>
  <si>
    <t>Ullapara</t>
  </si>
  <si>
    <t>District Selection</t>
  </si>
  <si>
    <t>Dr. Mridul Debnath</t>
  </si>
  <si>
    <t>Dr. Muktadir Hossain</t>
  </si>
  <si>
    <t>Dr. Tanjina Rahman</t>
  </si>
  <si>
    <t>Email Subject</t>
  </si>
  <si>
    <t>Steps Taken to Overcome the Challenges</t>
  </si>
  <si>
    <t>Prevailing Challenges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</si>
</sst>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00"/>
    <numFmt numFmtId="165" formatCode="00000000000"/>
    <numFmt numFmtId="166" formatCode="[$-409]dd/mmm/yy;@"/>
    <numFmt numFmtId="167" formatCode="00"/>
  </numFmts>
  <fonts count="21" x14ac:knownFonts="1">
    <font>
      <sz val="11"/>
      <color theme="1"/>
      <name val="Arial"/>
      <family val="2"/>
      <scheme val="minor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2"/>
      <color theme="1"/>
      <name val="Times New Roman"/>
      <family val="1"/>
    </font>
    <font>
      <sz val="10"/>
      <color indexed="8"/>
      <name val="Arial"/>
      <family val="2"/>
    </font>
    <font>
      <sz val="11"/>
      <color indexed="8"/>
      <name val="Century Gothic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2"/>
      <color theme="0"/>
      <name val="Times New Roman"/>
      <family val="1"/>
    </font>
    <font>
      <sz val="12"/>
      <color theme="1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sz val="12"/>
      <color rgb="FFFF0000"/>
      <name val="Calibri"/>
      <family val="2"/>
    </font>
    <font>
      <sz val="12"/>
      <color rgb="FF00B050"/>
      <name val="Calibri"/>
      <family val="2"/>
    </font>
    <font>
      <sz val="11"/>
      <color rgb="FF00B0F0"/>
      <name val="Times New Roman"/>
      <family val="1"/>
    </font>
    <font>
      <sz val="11"/>
      <color rgb="FF00B050"/>
      <name val="Calibri"/>
      <family val="2"/>
    </font>
    <font>
      <sz val="11"/>
      <color rgb="FFFF0000"/>
      <name val="Times New Roman"/>
      <family val="1"/>
    </font>
    <font>
      <b/>
      <u/>
      <sz val="11"/>
      <color theme="1"/>
      <name val="Times New Roman"/>
      <family val="1"/>
      <scheme val="major"/>
    </font>
    <font>
      <b/>
      <sz val="16"/>
      <color rgb="FF000000"/>
      <name val="Times New Roman"/>
      <family val="1"/>
    </font>
    <font>
      <b/>
      <u/>
      <sz val="12"/>
      <color theme="1"/>
      <name val="Times New Roman"/>
      <family val="1"/>
    </font>
    <font>
      <b/>
      <u/>
      <sz val="12"/>
      <color theme="1"/>
      <name val="Times New Roman"/>
      <family val="1"/>
      <scheme val="major"/>
    </font>
    <font>
      <sz val="12"/>
      <color indexed="8"/>
      <name val="Times New Roman"/>
      <family val="1"/>
      <scheme val="maj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20">
    <xf numFmtId="0" fontId="0" fillId="0" borderId="0" xfId="0"/>
    <xf numFmtId="0" fontId="3" fillId="0" borderId="0" xfId="0" applyFont="1" applyProtection="1">
      <protection hidden="1"/>
    </xf>
    <xf numFmtId="0" fontId="3" fillId="0" borderId="0" xfId="0" applyFont="1" applyAlignmen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protection hidden="1"/>
    </xf>
    <xf numFmtId="0" fontId="3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horizontal="center"/>
      <protection hidden="1"/>
    </xf>
    <xf numFmtId="164" fontId="3" fillId="0" borderId="0" xfId="0" applyNumberFormat="1" applyFont="1" applyBorder="1" applyProtection="1">
      <protection hidden="1"/>
    </xf>
    <xf numFmtId="167" fontId="3" fillId="0" borderId="0" xfId="0" applyNumberFormat="1" applyFont="1" applyBorder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9" fillId="0" borderId="0" xfId="0" applyFont="1" applyBorder="1" applyAlignment="1" applyProtection="1">
      <protection hidden="1"/>
    </xf>
    <xf numFmtId="0" fontId="9" fillId="0" borderId="0" xfId="0" applyFont="1" applyProtection="1">
      <protection hidden="1"/>
    </xf>
    <xf numFmtId="0" fontId="9" fillId="0" borderId="0" xfId="0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165" fontId="3" fillId="0" borderId="0" xfId="0" applyNumberFormat="1" applyFont="1" applyFill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1" fillId="0" borderId="0" xfId="0" applyFont="1" applyFill="1" applyBorder="1" applyProtection="1">
      <protection hidden="1"/>
    </xf>
    <xf numFmtId="0" fontId="3" fillId="0" borderId="11" xfId="0" applyFont="1" applyBorder="1" applyProtection="1"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12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5" xfId="0" applyFont="1" applyBorder="1" applyProtection="1">
      <protection hidden="1"/>
    </xf>
    <xf numFmtId="0" fontId="1" fillId="0" borderId="12" xfId="0" applyFont="1" applyBorder="1" applyAlignment="1" applyProtection="1">
      <alignment horizontal="center"/>
      <protection hidden="1"/>
    </xf>
    <xf numFmtId="0" fontId="3" fillId="0" borderId="10" xfId="0" applyFont="1" applyBorder="1" applyProtection="1">
      <protection hidden="1"/>
    </xf>
    <xf numFmtId="0" fontId="3" fillId="0" borderId="8" xfId="0" applyFont="1" applyBorder="1" applyProtection="1">
      <protection hidden="1"/>
    </xf>
    <xf numFmtId="0" fontId="3" fillId="0" borderId="1" xfId="0" applyFont="1" applyBorder="1" applyProtection="1">
      <protection hidden="1"/>
    </xf>
    <xf numFmtId="0" fontId="3" fillId="0" borderId="9" xfId="0" applyFont="1" applyBorder="1" applyAlignment="1" applyProtection="1">
      <protection hidden="1"/>
    </xf>
    <xf numFmtId="0" fontId="3" fillId="0" borderId="0" xfId="0" applyFont="1" applyFill="1" applyBorder="1" applyAlignment="1" applyProtection="1">
      <protection hidden="1"/>
    </xf>
    <xf numFmtId="0" fontId="18" fillId="0" borderId="0" xfId="0" applyFont="1" applyFill="1" applyBorder="1" applyProtection="1"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65" fontId="9" fillId="0" borderId="0" xfId="0" applyNumberFormat="1" applyFont="1" applyFill="1" applyBorder="1" applyProtection="1">
      <protection hidden="1"/>
    </xf>
    <xf numFmtId="0" fontId="9" fillId="0" borderId="0" xfId="0" applyFont="1" applyFill="1" applyBorder="1" applyAlignment="1" applyProtection="1">
      <protection hidden="1"/>
    </xf>
    <xf numFmtId="0" fontId="9" fillId="0" borderId="0" xfId="0" applyFont="1" applyFill="1" applyBorder="1" applyProtection="1">
      <protection hidden="1"/>
    </xf>
    <xf numFmtId="0" fontId="9" fillId="0" borderId="0" xfId="0" applyFont="1" applyFill="1" applyBorder="1" applyAlignment="1" applyProtection="1">
      <alignment horizontal="center"/>
      <protection hidden="1"/>
    </xf>
    <xf numFmtId="0" fontId="19" fillId="0" borderId="0" xfId="0" applyFont="1" applyFill="1" applyBorder="1" applyAlignment="1" applyProtection="1">
      <protection hidden="1"/>
    </xf>
    <xf numFmtId="0" fontId="9" fillId="0" borderId="0" xfId="0" applyFont="1" applyAlignment="1" applyProtection="1">
      <protection hidden="1"/>
    </xf>
    <xf numFmtId="0" fontId="0" fillId="0" borderId="0" xfId="0" applyProtection="1">
      <protection hidden="1"/>
    </xf>
    <xf numFmtId="0" fontId="16" fillId="0" borderId="0" xfId="0" applyFont="1" applyProtection="1">
      <protection hidden="1"/>
    </xf>
    <xf numFmtId="0" fontId="3" fillId="0" borderId="0" xfId="0" applyFont="1" applyBorder="1" applyAlignment="1" applyProtection="1">
      <alignment horizontal="center"/>
      <protection hidden="1"/>
    </xf>
    <xf numFmtId="167" fontId="3" fillId="0" borderId="2" xfId="0" applyNumberFormat="1" applyFont="1" applyBorder="1" applyAlignment="1" applyProtection="1">
      <alignment horizontal="center"/>
      <protection locked="0" hidden="1"/>
    </xf>
    <xf numFmtId="0" fontId="3" fillId="0" borderId="2" xfId="0" applyFont="1" applyBorder="1" applyAlignment="1" applyProtection="1">
      <alignment horizontal="center"/>
      <protection locked="0" hidden="1"/>
    </xf>
    <xf numFmtId="0" fontId="3" fillId="0" borderId="6" xfId="0" applyFont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5" fillId="0" borderId="0" xfId="1" applyFont="1" applyFill="1" applyBorder="1" applyAlignment="1" applyProtection="1">
      <alignment wrapText="1"/>
      <protection hidden="1"/>
    </xf>
    <xf numFmtId="0" fontId="13" fillId="0" borderId="0" xfId="0" quotePrefix="1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5" fillId="0" borderId="0" xfId="0" applyFont="1" applyAlignment="1" applyProtection="1">
      <alignment horizontal="center"/>
      <protection hidden="1"/>
    </xf>
    <xf numFmtId="0" fontId="6" fillId="0" borderId="0" xfId="0" applyFont="1" applyFill="1" applyBorder="1" applyProtection="1">
      <protection hidden="1"/>
    </xf>
    <xf numFmtId="0" fontId="10" fillId="0" borderId="0" xfId="0" applyFont="1" applyProtection="1">
      <protection hidden="1"/>
    </xf>
    <xf numFmtId="166" fontId="9" fillId="0" borderId="0" xfId="0" applyNumberFormat="1" applyFont="1" applyProtection="1">
      <protection hidden="1"/>
    </xf>
    <xf numFmtId="0" fontId="9" fillId="0" borderId="0" xfId="0" applyFont="1" applyAlignment="1" applyProtection="1">
      <alignment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Fill="1" applyAlignment="1" applyProtection="1">
      <alignment horizontal="left" vertical="center"/>
      <protection hidden="1"/>
    </xf>
    <xf numFmtId="0" fontId="20" fillId="0" borderId="0" xfId="0" applyFont="1" applyFill="1" applyAlignment="1" applyProtection="1">
      <alignment horizontal="left" vertical="center" wrapText="1"/>
      <protection hidden="1"/>
    </xf>
    <xf numFmtId="0" fontId="9" fillId="0" borderId="0" xfId="0" applyFont="1" applyFill="1" applyProtection="1">
      <protection hidden="1"/>
    </xf>
    <xf numFmtId="0" fontId="1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0" fontId="10" fillId="0" borderId="0" xfId="0" applyNumberFormat="1" applyFont="1" applyAlignment="1" applyProtection="1">
      <alignment vertical="center"/>
      <protection hidden="1"/>
    </xf>
    <xf numFmtId="0" fontId="9" fillId="0" borderId="0" xfId="0" applyNumberFormat="1" applyFont="1" applyAlignment="1" applyProtection="1">
      <alignment vertical="center"/>
      <protection hidden="1"/>
    </xf>
    <xf numFmtId="0" fontId="9" fillId="0" borderId="6" xfId="0" applyFont="1" applyBorder="1" applyAlignment="1" applyProtection="1">
      <alignment horizontal="left" vertical="center" wrapText="1"/>
      <protection locked="0" hidden="1"/>
    </xf>
    <xf numFmtId="0" fontId="9" fillId="0" borderId="0" xfId="0" applyFont="1" applyBorder="1" applyAlignment="1" applyProtection="1">
      <alignment horizontal="left" vertical="center" wrapText="1"/>
      <protection locked="0" hidden="1"/>
    </xf>
    <xf numFmtId="0" fontId="9" fillId="0" borderId="7" xfId="0" applyFont="1" applyBorder="1" applyAlignment="1" applyProtection="1">
      <alignment horizontal="left" vertical="center" wrapText="1"/>
      <protection locked="0" hidden="1"/>
    </xf>
    <xf numFmtId="0" fontId="9" fillId="0" borderId="8" xfId="0" applyFont="1" applyBorder="1" applyAlignment="1" applyProtection="1">
      <alignment horizontal="left" vertical="center" wrapText="1"/>
      <protection locked="0" hidden="1"/>
    </xf>
    <xf numFmtId="0" fontId="9" fillId="0" borderId="1" xfId="0" applyFont="1" applyBorder="1" applyAlignment="1" applyProtection="1">
      <alignment horizontal="left" vertical="center" wrapText="1"/>
      <protection locked="0" hidden="1"/>
    </xf>
    <xf numFmtId="0" fontId="9" fillId="0" borderId="9" xfId="0" applyFont="1" applyBorder="1" applyAlignment="1" applyProtection="1">
      <alignment horizontal="left" vertical="center" wrapText="1"/>
      <protection locked="0" hidden="1"/>
    </xf>
    <xf numFmtId="0" fontId="9" fillId="0" borderId="6" xfId="0" applyFont="1" applyFill="1" applyBorder="1" applyAlignment="1" applyProtection="1">
      <alignment horizontal="left" vertical="center" wrapText="1"/>
      <protection locked="0" hidden="1"/>
    </xf>
    <xf numFmtId="0" fontId="9" fillId="0" borderId="0" xfId="0" applyFont="1" applyFill="1" applyBorder="1" applyAlignment="1" applyProtection="1">
      <alignment horizontal="left" vertical="center" wrapText="1"/>
      <protection locked="0" hidden="1"/>
    </xf>
    <xf numFmtId="0" fontId="9" fillId="0" borderId="7" xfId="0" applyFont="1" applyFill="1" applyBorder="1" applyAlignment="1" applyProtection="1">
      <alignment horizontal="left" vertical="center" wrapText="1"/>
      <protection locked="0" hidden="1"/>
    </xf>
    <xf numFmtId="0" fontId="9" fillId="0" borderId="3" xfId="0" applyFont="1" applyFill="1" applyBorder="1" applyAlignment="1" applyProtection="1">
      <alignment horizontal="left" vertical="center" wrapText="1"/>
      <protection locked="0" hidden="1"/>
    </xf>
    <xf numFmtId="0" fontId="9" fillId="0" borderId="4" xfId="0" applyFont="1" applyFill="1" applyBorder="1" applyAlignment="1" applyProtection="1">
      <alignment horizontal="left" vertical="center" wrapText="1"/>
      <protection locked="0" hidden="1"/>
    </xf>
    <xf numFmtId="0" fontId="9" fillId="0" borderId="5" xfId="0" applyFont="1" applyFill="1" applyBorder="1" applyAlignment="1" applyProtection="1">
      <alignment horizontal="left" vertical="center" wrapText="1"/>
      <protection locked="0" hidden="1"/>
    </xf>
    <xf numFmtId="0" fontId="9" fillId="0" borderId="8" xfId="0" applyFont="1" applyFill="1" applyBorder="1" applyAlignment="1" applyProtection="1">
      <alignment horizontal="left" vertical="center" wrapText="1"/>
      <protection locked="0" hidden="1"/>
    </xf>
    <xf numFmtId="0" fontId="9" fillId="0" borderId="1" xfId="0" applyFont="1" applyFill="1" applyBorder="1" applyAlignment="1" applyProtection="1">
      <alignment horizontal="left" vertical="center" wrapText="1"/>
      <protection locked="0" hidden="1"/>
    </xf>
    <xf numFmtId="0" fontId="9" fillId="0" borderId="9" xfId="0" applyFont="1" applyFill="1" applyBorder="1" applyAlignment="1" applyProtection="1">
      <alignment horizontal="left" vertical="center" wrapText="1"/>
      <protection locked="0" hidden="1"/>
    </xf>
    <xf numFmtId="0" fontId="9" fillId="0" borderId="3" xfId="0" applyFont="1" applyBorder="1" applyAlignment="1" applyProtection="1">
      <alignment horizontal="left" wrapText="1"/>
      <protection locked="0" hidden="1"/>
    </xf>
    <xf numFmtId="0" fontId="9" fillId="0" borderId="4" xfId="0" applyFont="1" applyBorder="1" applyAlignment="1" applyProtection="1">
      <alignment horizontal="left" wrapText="1"/>
      <protection locked="0" hidden="1"/>
    </xf>
    <xf numFmtId="0" fontId="9" fillId="0" borderId="5" xfId="0" applyFont="1" applyBorder="1" applyAlignment="1" applyProtection="1">
      <alignment horizontal="left" wrapText="1"/>
      <protection locked="0" hidden="1"/>
    </xf>
    <xf numFmtId="0" fontId="9" fillId="0" borderId="6" xfId="0" applyFont="1" applyBorder="1" applyAlignment="1" applyProtection="1">
      <alignment horizontal="left" wrapText="1"/>
      <protection locked="0" hidden="1"/>
    </xf>
    <xf numFmtId="0" fontId="9" fillId="0" borderId="0" xfId="0" applyFont="1" applyBorder="1" applyAlignment="1" applyProtection="1">
      <alignment horizontal="left" wrapText="1"/>
      <protection locked="0" hidden="1"/>
    </xf>
    <xf numFmtId="0" fontId="9" fillId="0" borderId="7" xfId="0" applyFont="1" applyBorder="1" applyAlignment="1" applyProtection="1">
      <alignment horizontal="left" wrapText="1"/>
      <protection locked="0" hidden="1"/>
    </xf>
    <xf numFmtId="0" fontId="9" fillId="0" borderId="6" xfId="0" applyFont="1" applyFill="1" applyBorder="1" applyAlignment="1" applyProtection="1">
      <alignment horizontal="left" wrapText="1"/>
      <protection locked="0" hidden="1"/>
    </xf>
    <xf numFmtId="0" fontId="9" fillId="0" borderId="0" xfId="0" applyFont="1" applyFill="1" applyBorder="1" applyAlignment="1" applyProtection="1">
      <alignment horizontal="left" wrapText="1"/>
      <protection locked="0" hidden="1"/>
    </xf>
    <xf numFmtId="0" fontId="9" fillId="0" borderId="7" xfId="0" applyFont="1" applyFill="1" applyBorder="1" applyAlignment="1" applyProtection="1">
      <alignment horizontal="left" wrapText="1"/>
      <protection locked="0" hidden="1"/>
    </xf>
    <xf numFmtId="0" fontId="9" fillId="0" borderId="8" xfId="0" applyFont="1" applyFill="1" applyBorder="1" applyAlignment="1" applyProtection="1">
      <alignment horizontal="left" wrapText="1"/>
      <protection locked="0" hidden="1"/>
    </xf>
    <xf numFmtId="0" fontId="9" fillId="0" borderId="1" xfId="0" applyFont="1" applyFill="1" applyBorder="1" applyAlignment="1" applyProtection="1">
      <alignment horizontal="left" wrapText="1"/>
      <protection locked="0" hidden="1"/>
    </xf>
    <xf numFmtId="0" fontId="9" fillId="0" borderId="9" xfId="0" applyFont="1" applyFill="1" applyBorder="1" applyAlignment="1" applyProtection="1">
      <alignment horizontal="left" wrapText="1"/>
      <protection locked="0" hidden="1"/>
    </xf>
    <xf numFmtId="0" fontId="10" fillId="0" borderId="6" xfId="0" applyFont="1" applyFill="1" applyBorder="1" applyAlignment="1" applyProtection="1">
      <alignment horizontal="left" vertical="center" wrapText="1"/>
      <protection locked="0" hidden="1"/>
    </xf>
    <xf numFmtId="0" fontId="10" fillId="0" borderId="0" xfId="0" applyFont="1" applyFill="1" applyBorder="1" applyAlignment="1" applyProtection="1">
      <alignment horizontal="left" vertical="center" wrapText="1"/>
      <protection locked="0" hidden="1"/>
    </xf>
    <xf numFmtId="0" fontId="10" fillId="0" borderId="7" xfId="0" applyFont="1" applyFill="1" applyBorder="1" applyAlignment="1" applyProtection="1">
      <alignment horizontal="left" vertical="center" wrapText="1"/>
      <protection locked="0" hidden="1"/>
    </xf>
    <xf numFmtId="0" fontId="3" fillId="0" borderId="13" xfId="0" applyFont="1" applyBorder="1" applyAlignment="1" applyProtection="1">
      <alignment horizontal="center"/>
      <protection locked="0" hidden="1"/>
    </xf>
    <xf numFmtId="0" fontId="3" fillId="0" borderId="14" xfId="0" applyFont="1" applyBorder="1" applyAlignment="1" applyProtection="1">
      <alignment horizontal="center"/>
      <protection locked="0" hidden="1"/>
    </xf>
    <xf numFmtId="0" fontId="3" fillId="0" borderId="13" xfId="0" applyFont="1" applyBorder="1" applyAlignment="1" applyProtection="1">
      <alignment horizontal="center" shrinkToFit="1"/>
      <protection locked="0" hidden="1"/>
    </xf>
    <xf numFmtId="0" fontId="3" fillId="0" borderId="14" xfId="0" applyFont="1" applyBorder="1" applyAlignment="1" applyProtection="1">
      <alignment horizontal="center" shrinkToFit="1"/>
      <protection locked="0" hidden="1"/>
    </xf>
    <xf numFmtId="0" fontId="1" fillId="0" borderId="0" xfId="0" applyFont="1" applyBorder="1" applyAlignment="1" applyProtection="1">
      <alignment horizontal="center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locked="0" hidden="1"/>
    </xf>
    <xf numFmtId="0" fontId="9" fillId="0" borderId="13" xfId="0" applyFont="1" applyBorder="1" applyAlignment="1" applyProtection="1">
      <alignment horizontal="center"/>
      <protection hidden="1"/>
    </xf>
    <xf numFmtId="0" fontId="9" fillId="0" borderId="15" xfId="0" applyFont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3" fillId="0" borderId="0" xfId="0" applyNumberFormat="1" applyFont="1" applyBorder="1" applyAlignment="1" applyProtection="1">
      <alignment horizontal="center"/>
      <protection hidden="1"/>
    </xf>
  </cellXfs>
  <cellStyles count="2">
    <cellStyle name="Normal" xfId="0" builtinId="0"/>
    <cellStyle name="Normal_Sheet2" xfId="1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460200</xdr:colOff>
      <xdr:row>2</xdr:row>
      <xdr:rowOff>20106</xdr:rowOff>
    </xdr:from>
    <xdr:to>
      <xdr:col>2</xdr:col>
      <xdr:colOff>459143</xdr:colOff>
      <xdr:row>6</xdr:row>
      <xdr:rowOff>174163</xdr:rowOff>
    </xdr:to>
    <xdr:pic>
      <xdr:nvPicPr>
        <xdr:cNvPr id="4" name="Picture 2" descr="NIPSOM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200" y="420156"/>
          <a:ext cx="1227668" cy="954157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2</xdr:col>
      <xdr:colOff>1942920</xdr:colOff>
      <xdr:row>1</xdr:row>
      <xdr:rowOff>66673</xdr:rowOff>
    </xdr:from>
    <xdr:to>
      <xdr:col>9</xdr:col>
      <xdr:colOff>315716</xdr:colOff>
      <xdr:row>10</xdr:row>
      <xdr:rowOff>116416</xdr:rowOff>
    </xdr:to>
    <xdr:sp macro="" textlink="">
      <xdr:nvSpPr>
        <xdr:cNvPr id="2" name="TextBox 1"/>
        <xdr:cNvSpPr txBox="1"/>
      </xdr:nvSpPr>
      <xdr:spPr>
        <a:xfrm>
          <a:off x="3171645" y="266698"/>
          <a:ext cx="6440471" cy="1849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দক্ষতামুখী পুষ্টি প্রশিক্ষণ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দীপশিখা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2000" b="1" i="0" u="none" strike="noStrike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US" sz="22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Competency Based Training (CBT) in Nutrition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Agency: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United Nations Children’s Fund (UNICEF)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Implementing Partner: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National Institute of Preventive </a:t>
          </a:r>
          <a:r>
            <a:rPr lang="en-US" sz="2200" b="0" i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and Social Medicine (NIPSOM) 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 editAs="absolute">
    <xdr:from>
      <xdr:col>10</xdr:col>
      <xdr:colOff>324153</xdr:colOff>
      <xdr:row>3</xdr:row>
      <xdr:rowOff>1057</xdr:rowOff>
    </xdr:from>
    <xdr:to>
      <xdr:col>12</xdr:col>
      <xdr:colOff>672371</xdr:colOff>
      <xdr:row>5</xdr:row>
      <xdr:rowOff>182032</xdr:rowOff>
    </xdr:to>
    <xdr:pic>
      <xdr:nvPicPr>
        <xdr:cNvPr id="7" name="Picture 1" descr="UNICEF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49228" y="601132"/>
          <a:ext cx="1843643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66675</xdr:colOff>
      <xdr:row>3</xdr:row>
      <xdr:rowOff>106892</xdr:rowOff>
    </xdr:from>
    <xdr:to>
      <xdr:col>2</xdr:col>
      <xdr:colOff>605368</xdr:colOff>
      <xdr:row>8</xdr:row>
      <xdr:rowOff>160407</xdr:rowOff>
    </xdr:to>
    <xdr:pic>
      <xdr:nvPicPr>
        <xdr:cNvPr id="2" name="Picture 2" descr="NIPSOM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649817"/>
          <a:ext cx="1224493" cy="958390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4</xdr:col>
      <xdr:colOff>365120</xdr:colOff>
      <xdr:row>1</xdr:row>
      <xdr:rowOff>123825</xdr:rowOff>
    </xdr:from>
    <xdr:to>
      <xdr:col>13</xdr:col>
      <xdr:colOff>637624</xdr:colOff>
      <xdr:row>11</xdr:row>
      <xdr:rowOff>173568</xdr:rowOff>
    </xdr:to>
    <xdr:sp macro="" textlink="">
      <xdr:nvSpPr>
        <xdr:cNvPr id="3" name="TextBox 2"/>
        <xdr:cNvSpPr txBox="1"/>
      </xdr:nvSpPr>
      <xdr:spPr>
        <a:xfrm>
          <a:off x="3108320" y="304800"/>
          <a:ext cx="6444704" cy="185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দক্ষতামুখী পুষ্টি প্রশিক্ষণ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দীপশিখা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2000" b="1" i="0" u="none" strike="noStrike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US" sz="22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Competency Based Training (CBT) in Nutrition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Agency: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United Nations Children’s Fund (UNICEF)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Implementing Partner: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National Institute of Preventive </a:t>
          </a:r>
          <a:r>
            <a:rPr lang="en-US" sz="2200" b="0" i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and Social Medicine (NIPSOM) 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 editAs="absolute">
    <xdr:from>
      <xdr:col>14</xdr:col>
      <xdr:colOff>519061</xdr:colOff>
      <xdr:row>4</xdr:row>
      <xdr:rowOff>135468</xdr:rowOff>
    </xdr:from>
    <xdr:to>
      <xdr:col>17</xdr:col>
      <xdr:colOff>314829</xdr:colOff>
      <xdr:row>7</xdr:row>
      <xdr:rowOff>176743</xdr:rowOff>
    </xdr:to>
    <xdr:pic>
      <xdr:nvPicPr>
        <xdr:cNvPr id="4" name="Picture 1" descr="UNICEF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0261" y="859368"/>
          <a:ext cx="1853168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20</xdr:row>
          <xdr:rowOff>76200</xdr:rowOff>
        </xdr:from>
        <xdr:to>
          <xdr:col>5</xdr:col>
          <xdr:colOff>95250</xdr:colOff>
          <xdr:row>22</xdr:row>
          <xdr:rowOff>57150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Times New Roman-Arial">
      <a:majorFont>
        <a:latin typeface="Times New Roman" panose="02020603050405020304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xtreme Shadow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9800000"/>
            </a:lightRig>
          </a:scene3d>
          <a:sp3d prstMaterial="plastic">
            <a:bevelT w="25400" h="1905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173"/>
  <sheetViews>
    <sheetView showGridLines="0" showRowColHeaders="0" tabSelected="1" topLeftCell="A13" zoomScaleNormal="100" workbookViewId="0">
      <selection activeCell="D19" sqref="D19:F19"/>
    </sheetView>
  </sheetViews>
  <sheetFormatPr defaultRowHeight="15.75" x14ac:dyDescent="0.25"/>
  <cols>
    <col min="1" max="1" width="7.75" style="1" customWidth="1"/>
    <col min="2" max="2" width="8.375" style="1" customWidth="1"/>
    <col min="3" max="3" width="27.5" style="1" customWidth="1"/>
    <col min="4" max="4" width="8" style="1" customWidth="1"/>
    <col min="5" max="5" width="14.75" style="1" customWidth="1"/>
    <col min="6" max="6" width="16.875" style="1" customWidth="1"/>
    <col min="7" max="7" width="11.875" style="1" customWidth="1"/>
    <col min="8" max="8" width="14.125" style="1" customWidth="1"/>
    <col min="9" max="9" width="12.75" style="1" customWidth="1"/>
    <col min="10" max="10" width="10.875" style="1" customWidth="1"/>
    <col min="11" max="11" width="10.5" style="1" customWidth="1"/>
    <col min="12" max="12" width="9.125" style="1" customWidth="1"/>
    <col min="13" max="14" width="9" style="1"/>
    <col min="15" max="15" width="14.5" style="1" customWidth="1"/>
    <col min="16" max="16384" width="9" style="1"/>
  </cols>
  <sheetData>
    <row r="1" spans="3:13" x14ac:dyDescent="0.25">
      <c r="L1" s="2"/>
      <c r="M1" s="2"/>
    </row>
    <row r="2" spans="3:13" x14ac:dyDescent="0.25">
      <c r="L2" s="2"/>
      <c r="M2" s="2"/>
    </row>
    <row r="3" spans="3:13" x14ac:dyDescent="0.25">
      <c r="L3" s="2"/>
      <c r="M3" s="2"/>
    </row>
    <row r="4" spans="3:13" x14ac:dyDescent="0.25">
      <c r="G4" s="3"/>
      <c r="J4" s="2"/>
      <c r="K4" s="2"/>
      <c r="L4" s="2"/>
      <c r="M4" s="2"/>
    </row>
    <row r="5" spans="3:13" x14ac:dyDescent="0.25">
      <c r="G5" s="4"/>
      <c r="J5" s="2"/>
      <c r="K5" s="2"/>
      <c r="L5" s="2"/>
      <c r="M5" s="2"/>
    </row>
    <row r="6" spans="3:13" x14ac:dyDescent="0.25">
      <c r="G6" s="4"/>
      <c r="J6" s="2"/>
      <c r="K6" s="2"/>
      <c r="L6" s="2"/>
      <c r="M6" s="2"/>
    </row>
    <row r="7" spans="3:13" x14ac:dyDescent="0.25">
      <c r="G7" s="5"/>
      <c r="L7" s="2"/>
      <c r="M7" s="2"/>
    </row>
    <row r="8" spans="3:13" x14ac:dyDescent="0.25">
      <c r="L8" s="2"/>
      <c r="M8" s="2"/>
    </row>
    <row r="9" spans="3:13" x14ac:dyDescent="0.25">
      <c r="L9" s="2"/>
      <c r="M9" s="2"/>
    </row>
    <row r="10" spans="3:13" x14ac:dyDescent="0.25">
      <c r="M10" s="6"/>
    </row>
    <row r="11" spans="3:13" x14ac:dyDescent="0.25">
      <c r="M11" s="6"/>
    </row>
    <row r="12" spans="3:13" x14ac:dyDescent="0.25">
      <c r="E12" s="7"/>
    </row>
    <row r="13" spans="3:13" x14ac:dyDescent="0.25">
      <c r="F13" s="8"/>
      <c r="G13" s="9"/>
      <c r="K13" s="10"/>
      <c r="L13" s="10"/>
      <c r="M13" s="10"/>
    </row>
    <row r="14" spans="3:13" x14ac:dyDescent="0.25">
      <c r="K14" s="9"/>
      <c r="L14" s="9"/>
      <c r="M14" s="9"/>
    </row>
    <row r="15" spans="3:13" x14ac:dyDescent="0.25">
      <c r="C15" s="8" t="s">
        <v>61</v>
      </c>
      <c r="D15" s="101"/>
      <c r="E15" s="107"/>
      <c r="F15" s="102"/>
      <c r="G15" s="11"/>
      <c r="K15" s="12"/>
      <c r="L15" s="10"/>
      <c r="M15" s="10"/>
    </row>
    <row r="16" spans="3:13" x14ac:dyDescent="0.25">
      <c r="K16" s="9"/>
      <c r="L16" s="9"/>
      <c r="M16" s="6"/>
    </row>
    <row r="17" spans="2:13" x14ac:dyDescent="0.25">
      <c r="C17" s="13" t="s">
        <v>96</v>
      </c>
      <c r="D17" s="108" t="e">
        <f>DTGroup!F7</f>
        <v>#N/A</v>
      </c>
      <c r="E17" s="109"/>
      <c r="F17" s="110"/>
      <c r="G17" s="14"/>
      <c r="H17" s="8" t="s">
        <v>0</v>
      </c>
      <c r="I17" s="101"/>
      <c r="J17" s="102"/>
      <c r="K17" s="12"/>
      <c r="L17" s="10"/>
      <c r="M17" s="10"/>
    </row>
    <row r="18" spans="2:13" x14ac:dyDescent="0.25">
      <c r="C18" s="15"/>
      <c r="D18" s="15"/>
      <c r="E18" s="15"/>
      <c r="F18" s="16"/>
      <c r="G18" s="14"/>
      <c r="K18" s="9"/>
      <c r="L18" s="9"/>
      <c r="M18" s="6"/>
    </row>
    <row r="19" spans="2:13" x14ac:dyDescent="0.25">
      <c r="C19" s="13" t="s">
        <v>97</v>
      </c>
      <c r="D19" s="108" t="e">
        <f>DTGroup!F10</f>
        <v>#N/A</v>
      </c>
      <c r="E19" s="109"/>
      <c r="F19" s="110"/>
      <c r="G19" s="14"/>
      <c r="J19" s="9"/>
      <c r="K19" s="9"/>
      <c r="L19" s="9"/>
      <c r="M19" s="6"/>
    </row>
    <row r="20" spans="2:13" x14ac:dyDescent="0.25">
      <c r="J20" s="9"/>
      <c r="K20" s="9"/>
      <c r="L20" s="9"/>
      <c r="M20" s="6"/>
    </row>
    <row r="21" spans="2:13" x14ac:dyDescent="0.25">
      <c r="I21" s="2"/>
      <c r="J21" s="9"/>
      <c r="K21" s="9"/>
      <c r="L21" s="9"/>
      <c r="M21" s="6"/>
    </row>
    <row r="22" spans="2:13" x14ac:dyDescent="0.25">
      <c r="B22" s="17"/>
      <c r="C22" s="17"/>
      <c r="D22" s="17"/>
      <c r="E22" s="17"/>
      <c r="F22" s="9"/>
      <c r="G22" s="9"/>
      <c r="H22" s="9"/>
      <c r="I22" s="6"/>
      <c r="J22" s="17"/>
      <c r="K22" s="17"/>
      <c r="L22" s="17"/>
      <c r="M22" s="17"/>
    </row>
    <row r="23" spans="2:13" x14ac:dyDescent="0.25">
      <c r="B23" s="17"/>
      <c r="C23" s="17"/>
      <c r="D23" s="17"/>
      <c r="E23" s="17"/>
      <c r="F23" s="9"/>
      <c r="G23" s="9"/>
      <c r="H23" s="9"/>
      <c r="I23" s="6"/>
      <c r="J23" s="17"/>
      <c r="K23" s="17"/>
      <c r="L23" s="17"/>
      <c r="M23" s="17"/>
    </row>
    <row r="24" spans="2:13" x14ac:dyDescent="0.25">
      <c r="B24" s="18"/>
      <c r="C24" s="105"/>
      <c r="D24" s="105"/>
      <c r="E24" s="18"/>
      <c r="F24" s="18"/>
      <c r="G24" s="18"/>
      <c r="H24" s="18" t="s">
        <v>109</v>
      </c>
      <c r="I24" s="18"/>
      <c r="J24" s="18"/>
      <c r="K24" s="18"/>
      <c r="L24" s="18"/>
      <c r="M24" s="17"/>
    </row>
    <row r="25" spans="2:13" x14ac:dyDescent="0.25">
      <c r="B25" s="19"/>
      <c r="C25" s="8" t="s">
        <v>110</v>
      </c>
      <c r="D25" s="103"/>
      <c r="E25" s="104"/>
      <c r="F25" s="17"/>
      <c r="G25" s="20"/>
      <c r="H25" s="21"/>
      <c r="I25" s="17"/>
      <c r="J25" s="22"/>
      <c r="K25" s="22"/>
      <c r="L25" s="22"/>
      <c r="M25" s="17"/>
    </row>
    <row r="26" spans="2:13" x14ac:dyDescent="0.25">
      <c r="B26" s="19"/>
      <c r="C26" s="8" t="s">
        <v>111</v>
      </c>
      <c r="D26" s="103"/>
      <c r="E26" s="104"/>
      <c r="F26" s="17"/>
      <c r="G26" s="20"/>
      <c r="H26" s="23"/>
      <c r="I26" s="17"/>
      <c r="J26" s="22"/>
      <c r="K26" s="22"/>
      <c r="L26" s="22"/>
      <c r="M26" s="17"/>
    </row>
    <row r="27" spans="2:13" x14ac:dyDescent="0.25">
      <c r="B27" s="19"/>
      <c r="C27" s="8" t="s">
        <v>112</v>
      </c>
      <c r="D27" s="103"/>
      <c r="E27" s="104"/>
      <c r="F27" s="17"/>
      <c r="G27" s="20"/>
      <c r="H27" s="24"/>
      <c r="I27" s="25" t="s">
        <v>59</v>
      </c>
      <c r="J27" s="25" t="s">
        <v>60</v>
      </c>
      <c r="K27" s="25" t="s">
        <v>58</v>
      </c>
      <c r="L27" s="22"/>
      <c r="M27" s="17"/>
    </row>
    <row r="28" spans="2:13" x14ac:dyDescent="0.25">
      <c r="B28" s="19"/>
      <c r="C28" s="8" t="s">
        <v>113</v>
      </c>
      <c r="D28" s="103"/>
      <c r="E28" s="104"/>
      <c r="F28" s="17"/>
      <c r="G28" s="20"/>
      <c r="H28" s="26"/>
      <c r="I28" s="27"/>
      <c r="K28" s="28"/>
      <c r="L28" s="22"/>
      <c r="M28" s="17"/>
    </row>
    <row r="29" spans="2:13" x14ac:dyDescent="0.25">
      <c r="B29" s="19"/>
      <c r="C29" s="8" t="s">
        <v>114</v>
      </c>
      <c r="D29" s="103"/>
      <c r="E29" s="104"/>
      <c r="F29" s="17"/>
      <c r="G29" s="20"/>
      <c r="H29" s="29" t="s">
        <v>35</v>
      </c>
      <c r="I29" s="46"/>
      <c r="J29" s="47"/>
      <c r="K29" s="47"/>
      <c r="L29" s="22"/>
      <c r="M29" s="17"/>
    </row>
    <row r="30" spans="2:13" x14ac:dyDescent="0.25">
      <c r="B30" s="19"/>
      <c r="C30" s="8" t="s">
        <v>115</v>
      </c>
      <c r="D30" s="103"/>
      <c r="E30" s="104"/>
      <c r="F30" s="17"/>
      <c r="G30" s="20"/>
      <c r="H30" s="26"/>
      <c r="I30" s="48"/>
      <c r="J30" s="45"/>
      <c r="K30" s="49"/>
      <c r="L30" s="22"/>
      <c r="M30" s="17"/>
    </row>
    <row r="31" spans="2:13" x14ac:dyDescent="0.25">
      <c r="B31" s="19"/>
      <c r="C31" s="8" t="s">
        <v>116</v>
      </c>
      <c r="D31" s="103"/>
      <c r="E31" s="104"/>
      <c r="F31" s="17"/>
      <c r="G31" s="20"/>
      <c r="H31" s="29" t="s">
        <v>36</v>
      </c>
      <c r="I31" s="46"/>
      <c r="J31" s="47"/>
      <c r="K31" s="47"/>
      <c r="L31" s="22"/>
      <c r="M31" s="17"/>
    </row>
    <row r="32" spans="2:13" x14ac:dyDescent="0.25">
      <c r="B32" s="19"/>
      <c r="C32" s="8" t="s">
        <v>117</v>
      </c>
      <c r="D32" s="103"/>
      <c r="E32" s="104"/>
      <c r="F32" s="17"/>
      <c r="G32" s="20"/>
      <c r="H32" s="30"/>
      <c r="I32" s="31"/>
      <c r="J32" s="32"/>
      <c r="K32" s="33"/>
      <c r="L32" s="22"/>
      <c r="M32" s="17"/>
    </row>
    <row r="33" spans="1:15" x14ac:dyDescent="0.25">
      <c r="B33" s="19"/>
      <c r="C33" s="8" t="s">
        <v>118</v>
      </c>
      <c r="D33" s="103"/>
      <c r="E33" s="104"/>
      <c r="F33" s="17"/>
      <c r="G33" s="20"/>
      <c r="H33" s="17"/>
      <c r="I33" s="17"/>
      <c r="J33" s="22"/>
      <c r="K33" s="22"/>
      <c r="L33" s="22"/>
      <c r="M33" s="17"/>
    </row>
    <row r="34" spans="1:15" x14ac:dyDescent="0.25">
      <c r="B34" s="19"/>
      <c r="C34" s="8" t="s">
        <v>119</v>
      </c>
      <c r="D34" s="103"/>
      <c r="E34" s="104"/>
      <c r="F34" s="17"/>
      <c r="G34" s="20"/>
      <c r="H34" s="17"/>
      <c r="I34" s="17"/>
      <c r="J34" s="22"/>
      <c r="K34" s="22"/>
      <c r="L34" s="22"/>
      <c r="M34" s="17"/>
    </row>
    <row r="35" spans="1:15" x14ac:dyDescent="0.25">
      <c r="B35" s="19"/>
      <c r="C35" s="34"/>
      <c r="D35" s="17"/>
      <c r="E35" s="17"/>
      <c r="F35" s="17"/>
      <c r="G35" s="20"/>
      <c r="H35" s="17"/>
      <c r="I35" s="17"/>
      <c r="J35" s="22"/>
      <c r="K35" s="22"/>
      <c r="L35" s="22"/>
      <c r="M35" s="17"/>
    </row>
    <row r="36" spans="1:15" x14ac:dyDescent="0.25">
      <c r="B36" s="19"/>
      <c r="C36" s="34"/>
      <c r="D36" s="17"/>
      <c r="E36" s="17"/>
      <c r="F36" s="17"/>
      <c r="G36" s="20"/>
      <c r="H36" s="17"/>
      <c r="I36" s="17"/>
      <c r="J36" s="22"/>
      <c r="K36" s="22"/>
      <c r="L36" s="22"/>
      <c r="M36" s="17"/>
      <c r="O36" s="6"/>
    </row>
    <row r="37" spans="1:15" x14ac:dyDescent="0.25">
      <c r="B37" s="19"/>
      <c r="C37" s="105"/>
      <c r="D37" s="105"/>
      <c r="E37" s="18"/>
      <c r="F37" s="18"/>
      <c r="G37" s="18"/>
      <c r="H37" s="18"/>
      <c r="I37" s="17"/>
      <c r="J37" s="22"/>
      <c r="K37" s="22"/>
      <c r="L37" s="22"/>
      <c r="M37" s="17"/>
      <c r="O37" s="6"/>
    </row>
    <row r="38" spans="1:15" x14ac:dyDescent="0.25">
      <c r="B38" s="19"/>
      <c r="C38" s="35" t="s">
        <v>120</v>
      </c>
      <c r="D38" s="17"/>
      <c r="E38" s="17"/>
      <c r="F38" s="17"/>
      <c r="G38" s="20"/>
      <c r="H38" s="35" t="s">
        <v>202</v>
      </c>
      <c r="I38" s="17"/>
      <c r="J38" s="22"/>
      <c r="K38" s="22"/>
      <c r="L38" s="22"/>
      <c r="M38" s="17"/>
      <c r="O38" s="6"/>
    </row>
    <row r="39" spans="1:15" x14ac:dyDescent="0.25">
      <c r="B39" s="19"/>
      <c r="C39" s="17"/>
      <c r="D39" s="106"/>
      <c r="E39" s="106"/>
      <c r="F39" s="17"/>
      <c r="G39" s="20"/>
      <c r="L39" s="22"/>
      <c r="M39" s="17"/>
      <c r="O39" s="6"/>
    </row>
    <row r="40" spans="1:15" x14ac:dyDescent="0.25">
      <c r="A40" s="15"/>
      <c r="B40" s="36"/>
      <c r="C40" s="80"/>
      <c r="D40" s="81"/>
      <c r="E40" s="81"/>
      <c r="F40" s="82"/>
      <c r="G40" s="37"/>
      <c r="H40" s="86"/>
      <c r="I40" s="87"/>
      <c r="J40" s="87"/>
      <c r="K40" s="87"/>
      <c r="L40" s="87"/>
      <c r="M40" s="88"/>
      <c r="O40" s="6"/>
    </row>
    <row r="41" spans="1:15" x14ac:dyDescent="0.25">
      <c r="A41" s="15"/>
      <c r="B41" s="36"/>
      <c r="C41" s="77"/>
      <c r="D41" s="78"/>
      <c r="E41" s="78"/>
      <c r="F41" s="79"/>
      <c r="G41" s="37"/>
      <c r="H41" s="89"/>
      <c r="I41" s="90"/>
      <c r="J41" s="90"/>
      <c r="K41" s="90"/>
      <c r="L41" s="90"/>
      <c r="M41" s="91"/>
    </row>
    <row r="42" spans="1:15" x14ac:dyDescent="0.25">
      <c r="A42" s="15"/>
      <c r="B42" s="36"/>
      <c r="C42" s="77"/>
      <c r="D42" s="78"/>
      <c r="E42" s="78"/>
      <c r="F42" s="79"/>
      <c r="G42" s="37"/>
      <c r="H42" s="89"/>
      <c r="I42" s="90"/>
      <c r="J42" s="90"/>
      <c r="K42" s="90"/>
      <c r="L42" s="90"/>
      <c r="M42" s="91"/>
    </row>
    <row r="43" spans="1:15" x14ac:dyDescent="0.25">
      <c r="A43" s="15"/>
      <c r="B43" s="36"/>
      <c r="C43" s="77"/>
      <c r="D43" s="78"/>
      <c r="E43" s="78"/>
      <c r="F43" s="79"/>
      <c r="G43" s="37"/>
      <c r="H43" s="89"/>
      <c r="I43" s="90"/>
      <c r="J43" s="90"/>
      <c r="K43" s="90"/>
      <c r="L43" s="90"/>
      <c r="M43" s="91"/>
    </row>
    <row r="44" spans="1:15" x14ac:dyDescent="0.25">
      <c r="A44" s="15"/>
      <c r="B44" s="36"/>
      <c r="C44" s="77"/>
      <c r="D44" s="78"/>
      <c r="E44" s="78"/>
      <c r="F44" s="79"/>
      <c r="G44" s="37"/>
      <c r="H44" s="89"/>
      <c r="I44" s="90"/>
      <c r="J44" s="90"/>
      <c r="K44" s="90"/>
      <c r="L44" s="90"/>
      <c r="M44" s="91"/>
    </row>
    <row r="45" spans="1:15" x14ac:dyDescent="0.25">
      <c r="A45" s="15"/>
      <c r="B45" s="36"/>
      <c r="C45" s="98"/>
      <c r="D45" s="99"/>
      <c r="E45" s="99"/>
      <c r="F45" s="100"/>
      <c r="G45" s="37"/>
      <c r="H45" s="92"/>
      <c r="I45" s="93"/>
      <c r="J45" s="93"/>
      <c r="K45" s="93"/>
      <c r="L45" s="93"/>
      <c r="M45" s="94"/>
    </row>
    <row r="46" spans="1:15" x14ac:dyDescent="0.25">
      <c r="A46" s="15"/>
      <c r="B46" s="36"/>
      <c r="C46" s="77"/>
      <c r="D46" s="78"/>
      <c r="E46" s="78"/>
      <c r="F46" s="79"/>
      <c r="G46" s="37"/>
      <c r="H46" s="92"/>
      <c r="I46" s="93"/>
      <c r="J46" s="93"/>
      <c r="K46" s="93"/>
      <c r="L46" s="93"/>
      <c r="M46" s="94"/>
    </row>
    <row r="47" spans="1:15" x14ac:dyDescent="0.25">
      <c r="A47" s="15"/>
      <c r="B47" s="36"/>
      <c r="C47" s="77"/>
      <c r="D47" s="78"/>
      <c r="E47" s="78"/>
      <c r="F47" s="79"/>
      <c r="G47" s="37"/>
      <c r="H47" s="92"/>
      <c r="I47" s="93"/>
      <c r="J47" s="93"/>
      <c r="K47" s="93"/>
      <c r="L47" s="93"/>
      <c r="M47" s="94"/>
    </row>
    <row r="48" spans="1:15" x14ac:dyDescent="0.25">
      <c r="A48" s="15"/>
      <c r="B48" s="36"/>
      <c r="C48" s="77"/>
      <c r="D48" s="78"/>
      <c r="E48" s="78"/>
      <c r="F48" s="79"/>
      <c r="G48" s="37"/>
      <c r="H48" s="92"/>
      <c r="I48" s="93"/>
      <c r="J48" s="93"/>
      <c r="K48" s="93"/>
      <c r="L48" s="93"/>
      <c r="M48" s="94"/>
    </row>
    <row r="49" spans="1:13" x14ac:dyDescent="0.25">
      <c r="A49" s="15"/>
      <c r="B49" s="36"/>
      <c r="C49" s="77"/>
      <c r="D49" s="78"/>
      <c r="E49" s="78"/>
      <c r="F49" s="79"/>
      <c r="G49" s="37"/>
      <c r="H49" s="92"/>
      <c r="I49" s="93"/>
      <c r="J49" s="93"/>
      <c r="K49" s="93"/>
      <c r="L49" s="93"/>
      <c r="M49" s="94"/>
    </row>
    <row r="50" spans="1:13" x14ac:dyDescent="0.25">
      <c r="A50" s="15"/>
      <c r="B50" s="36"/>
      <c r="C50" s="77"/>
      <c r="D50" s="78"/>
      <c r="E50" s="78"/>
      <c r="F50" s="79"/>
      <c r="G50" s="37"/>
      <c r="H50" s="92"/>
      <c r="I50" s="93"/>
      <c r="J50" s="93"/>
      <c r="K50" s="93"/>
      <c r="L50" s="93"/>
      <c r="M50" s="94"/>
    </row>
    <row r="51" spans="1:13" x14ac:dyDescent="0.25">
      <c r="A51" s="15"/>
      <c r="B51" s="36"/>
      <c r="C51" s="77"/>
      <c r="D51" s="78"/>
      <c r="E51" s="78"/>
      <c r="F51" s="79"/>
      <c r="G51" s="37"/>
      <c r="H51" s="92"/>
      <c r="I51" s="93"/>
      <c r="J51" s="93"/>
      <c r="K51" s="93"/>
      <c r="L51" s="93"/>
      <c r="M51" s="94"/>
    </row>
    <row r="52" spans="1:13" x14ac:dyDescent="0.25">
      <c r="A52" s="15"/>
      <c r="B52" s="36"/>
      <c r="C52" s="77"/>
      <c r="D52" s="78"/>
      <c r="E52" s="78"/>
      <c r="F52" s="79"/>
      <c r="G52" s="37"/>
      <c r="H52" s="92"/>
      <c r="I52" s="93"/>
      <c r="J52" s="93"/>
      <c r="K52" s="93"/>
      <c r="L52" s="93"/>
      <c r="M52" s="94"/>
    </row>
    <row r="53" spans="1:13" x14ac:dyDescent="0.25">
      <c r="A53" s="15"/>
      <c r="B53" s="36"/>
      <c r="C53" s="83"/>
      <c r="D53" s="84"/>
      <c r="E53" s="84"/>
      <c r="F53" s="85"/>
      <c r="G53" s="37"/>
      <c r="H53" s="95"/>
      <c r="I53" s="96"/>
      <c r="J53" s="96"/>
      <c r="K53" s="96"/>
      <c r="L53" s="96"/>
      <c r="M53" s="97"/>
    </row>
    <row r="54" spans="1:13" x14ac:dyDescent="0.25">
      <c r="A54" s="15"/>
      <c r="B54" s="36"/>
      <c r="C54" s="38"/>
      <c r="D54" s="39"/>
      <c r="E54" s="39"/>
      <c r="F54" s="39"/>
      <c r="G54" s="37"/>
      <c r="H54" s="39"/>
      <c r="I54" s="39"/>
      <c r="J54" s="40"/>
      <c r="K54" s="40"/>
      <c r="L54" s="40"/>
      <c r="M54" s="39"/>
    </row>
    <row r="55" spans="1:13" x14ac:dyDescent="0.25">
      <c r="A55" s="15"/>
      <c r="B55" s="36"/>
      <c r="C55" s="38"/>
      <c r="D55" s="39"/>
      <c r="E55" s="39"/>
      <c r="F55" s="39"/>
      <c r="G55" s="37"/>
      <c r="H55" s="39"/>
      <c r="I55" s="39"/>
      <c r="J55" s="40"/>
      <c r="K55" s="40"/>
      <c r="L55" s="40"/>
      <c r="M55" s="39"/>
    </row>
    <row r="56" spans="1:13" x14ac:dyDescent="0.25">
      <c r="A56" s="15"/>
      <c r="B56" s="36"/>
      <c r="C56" s="38"/>
      <c r="D56" s="38"/>
      <c r="E56" s="39"/>
      <c r="F56" s="39"/>
      <c r="G56" s="37"/>
      <c r="H56" s="39"/>
      <c r="I56" s="39"/>
      <c r="J56" s="40"/>
      <c r="K56" s="40"/>
      <c r="L56" s="40"/>
      <c r="M56" s="39"/>
    </row>
    <row r="57" spans="1:13" x14ac:dyDescent="0.25">
      <c r="A57" s="15"/>
      <c r="B57" s="36"/>
      <c r="E57" s="41" t="s">
        <v>203</v>
      </c>
      <c r="F57" s="38"/>
      <c r="G57" s="39"/>
      <c r="H57" s="39"/>
      <c r="I57" s="39"/>
      <c r="J57" s="40"/>
      <c r="K57" s="40"/>
      <c r="L57" s="40"/>
      <c r="M57" s="39"/>
    </row>
    <row r="58" spans="1:13" x14ac:dyDescent="0.25">
      <c r="A58" s="15"/>
      <c r="B58" s="36"/>
      <c r="E58" s="38"/>
      <c r="F58" s="38"/>
      <c r="G58" s="39"/>
      <c r="H58" s="39"/>
      <c r="I58" s="39"/>
      <c r="J58" s="40"/>
      <c r="K58" s="40"/>
      <c r="L58" s="40"/>
      <c r="M58" s="39"/>
    </row>
    <row r="59" spans="1:13" x14ac:dyDescent="0.25">
      <c r="A59" s="15"/>
      <c r="B59" s="36"/>
      <c r="E59" s="80"/>
      <c r="F59" s="81"/>
      <c r="G59" s="81"/>
      <c r="H59" s="81"/>
      <c r="I59" s="82"/>
      <c r="J59" s="40"/>
      <c r="K59" s="40"/>
      <c r="L59" s="40"/>
      <c r="M59" s="39"/>
    </row>
    <row r="60" spans="1:13" x14ac:dyDescent="0.25">
      <c r="A60" s="15"/>
      <c r="B60" s="36"/>
      <c r="E60" s="77"/>
      <c r="F60" s="78"/>
      <c r="G60" s="78"/>
      <c r="H60" s="78"/>
      <c r="I60" s="79"/>
      <c r="J60" s="40"/>
      <c r="K60" s="40"/>
      <c r="L60" s="40"/>
      <c r="M60" s="39"/>
    </row>
    <row r="61" spans="1:13" ht="15.75" customHeight="1" x14ac:dyDescent="0.25">
      <c r="A61" s="15"/>
      <c r="B61" s="36"/>
      <c r="E61" s="77"/>
      <c r="F61" s="78"/>
      <c r="G61" s="78"/>
      <c r="H61" s="78"/>
      <c r="I61" s="79"/>
      <c r="J61" s="40"/>
      <c r="K61" s="40"/>
      <c r="L61" s="40"/>
      <c r="M61" s="39"/>
    </row>
    <row r="62" spans="1:13" ht="15.75" customHeight="1" x14ac:dyDescent="0.25">
      <c r="A62" s="15"/>
      <c r="B62" s="36"/>
      <c r="E62" s="77"/>
      <c r="F62" s="78"/>
      <c r="G62" s="78"/>
      <c r="H62" s="78"/>
      <c r="I62" s="79"/>
      <c r="J62" s="40"/>
      <c r="K62" s="40"/>
      <c r="L62" s="40"/>
      <c r="M62" s="39"/>
    </row>
    <row r="63" spans="1:13" x14ac:dyDescent="0.25">
      <c r="A63" s="15"/>
      <c r="B63" s="36"/>
      <c r="E63" s="77"/>
      <c r="F63" s="78"/>
      <c r="G63" s="78"/>
      <c r="H63" s="78"/>
      <c r="I63" s="79"/>
      <c r="J63" s="40"/>
      <c r="K63" s="40"/>
      <c r="L63" s="40"/>
      <c r="M63" s="39"/>
    </row>
    <row r="64" spans="1:13" x14ac:dyDescent="0.25">
      <c r="A64" s="15"/>
      <c r="B64" s="36"/>
      <c r="E64" s="77"/>
      <c r="F64" s="78"/>
      <c r="G64" s="78"/>
      <c r="H64" s="78"/>
      <c r="I64" s="79"/>
      <c r="J64" s="40"/>
      <c r="K64" s="40"/>
      <c r="L64" s="40"/>
      <c r="M64" s="39"/>
    </row>
    <row r="65" spans="1:64" x14ac:dyDescent="0.25">
      <c r="A65" s="15"/>
      <c r="B65" s="36"/>
      <c r="E65" s="77"/>
      <c r="F65" s="78"/>
      <c r="G65" s="78"/>
      <c r="H65" s="78"/>
      <c r="I65" s="79"/>
      <c r="J65" s="40"/>
      <c r="K65" s="40"/>
      <c r="L65" s="40"/>
      <c r="M65" s="39"/>
    </row>
    <row r="66" spans="1:64" x14ac:dyDescent="0.25">
      <c r="A66" s="15"/>
      <c r="B66" s="36"/>
      <c r="E66" s="77"/>
      <c r="F66" s="78"/>
      <c r="G66" s="78"/>
      <c r="H66" s="78"/>
      <c r="I66" s="79"/>
      <c r="J66" s="40"/>
      <c r="K66" s="40"/>
      <c r="L66" s="40"/>
      <c r="M66" s="38"/>
    </row>
    <row r="67" spans="1:64" x14ac:dyDescent="0.25">
      <c r="A67" s="15"/>
      <c r="B67" s="39"/>
      <c r="E67" s="77"/>
      <c r="F67" s="78"/>
      <c r="G67" s="78"/>
      <c r="H67" s="78"/>
      <c r="I67" s="79"/>
      <c r="J67" s="39"/>
      <c r="K67" s="39"/>
      <c r="L67" s="39"/>
      <c r="M67" s="39"/>
    </row>
    <row r="68" spans="1:64" x14ac:dyDescent="0.25">
      <c r="A68" s="15"/>
      <c r="B68" s="39"/>
      <c r="E68" s="77"/>
      <c r="F68" s="78"/>
      <c r="G68" s="78"/>
      <c r="H68" s="78"/>
      <c r="I68" s="79"/>
      <c r="J68" s="39"/>
      <c r="K68" s="39"/>
      <c r="L68" s="39"/>
      <c r="M68" s="39"/>
    </row>
    <row r="69" spans="1:64" x14ac:dyDescent="0.25">
      <c r="A69" s="15"/>
      <c r="B69" s="39"/>
      <c r="E69" s="77"/>
      <c r="F69" s="78"/>
      <c r="G69" s="78"/>
      <c r="H69" s="78"/>
      <c r="I69" s="79"/>
      <c r="J69" s="39"/>
      <c r="K69" s="39"/>
      <c r="L69" s="39"/>
      <c r="M69" s="39"/>
    </row>
    <row r="70" spans="1:64" x14ac:dyDescent="0.25">
      <c r="A70" s="15"/>
      <c r="B70" s="39"/>
      <c r="E70" s="77"/>
      <c r="F70" s="78"/>
      <c r="G70" s="78"/>
      <c r="H70" s="78"/>
      <c r="I70" s="79"/>
      <c r="J70" s="39"/>
      <c r="K70" s="39"/>
      <c r="L70" s="39"/>
      <c r="M70" s="39"/>
    </row>
    <row r="71" spans="1:64" x14ac:dyDescent="0.25">
      <c r="A71" s="15"/>
      <c r="B71" s="39"/>
      <c r="E71" s="77"/>
      <c r="F71" s="78"/>
      <c r="G71" s="78"/>
      <c r="H71" s="78"/>
      <c r="I71" s="79"/>
      <c r="J71" s="39"/>
      <c r="K71" s="39"/>
      <c r="L71" s="39"/>
      <c r="M71" s="39"/>
    </row>
    <row r="72" spans="1:64" x14ac:dyDescent="0.25">
      <c r="A72" s="15"/>
      <c r="B72" s="39"/>
      <c r="E72" s="77"/>
      <c r="F72" s="78"/>
      <c r="G72" s="78"/>
      <c r="H72" s="78"/>
      <c r="I72" s="79"/>
      <c r="J72" s="39"/>
      <c r="K72" s="39"/>
      <c r="L72" s="39"/>
      <c r="M72" s="39"/>
    </row>
    <row r="73" spans="1:64" x14ac:dyDescent="0.25">
      <c r="A73" s="16"/>
      <c r="B73" s="16"/>
      <c r="E73" s="71"/>
      <c r="F73" s="72"/>
      <c r="G73" s="72"/>
      <c r="H73" s="72"/>
      <c r="I73" s="73"/>
      <c r="J73" s="16"/>
      <c r="K73" s="16"/>
      <c r="L73" s="16"/>
      <c r="M73" s="16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</row>
    <row r="74" spans="1:64" x14ac:dyDescent="0.25">
      <c r="A74" s="15"/>
      <c r="B74" s="15"/>
      <c r="E74" s="71"/>
      <c r="F74" s="72"/>
      <c r="G74" s="72"/>
      <c r="H74" s="72"/>
      <c r="I74" s="73"/>
      <c r="J74" s="15"/>
      <c r="K74" s="15"/>
      <c r="L74" s="15"/>
      <c r="M74" s="15"/>
    </row>
    <row r="75" spans="1:64" x14ac:dyDescent="0.25">
      <c r="A75" s="15"/>
      <c r="B75" s="15"/>
      <c r="E75" s="74"/>
      <c r="F75" s="75"/>
      <c r="G75" s="75"/>
      <c r="H75" s="75"/>
      <c r="I75" s="76"/>
      <c r="J75" s="15"/>
      <c r="K75" s="15"/>
      <c r="L75" s="15"/>
      <c r="M75" s="15"/>
    </row>
    <row r="76" spans="1:64" x14ac:dyDescent="0.25">
      <c r="A76" s="15"/>
      <c r="B76" s="15"/>
      <c r="E76" s="42"/>
      <c r="F76" s="42"/>
      <c r="G76" s="42"/>
      <c r="H76" s="42"/>
      <c r="I76" s="15"/>
      <c r="J76" s="15"/>
      <c r="K76" s="15"/>
      <c r="L76" s="15"/>
      <c r="M76" s="15"/>
    </row>
    <row r="77" spans="1:64" x14ac:dyDescent="0.25">
      <c r="A77" s="15"/>
      <c r="B77" s="15"/>
      <c r="C77" s="42"/>
      <c r="D77" s="42"/>
      <c r="E77" s="42"/>
      <c r="F77" s="42"/>
      <c r="G77" s="42"/>
      <c r="H77" s="15"/>
      <c r="I77" s="15"/>
      <c r="J77" s="15"/>
      <c r="K77" s="15"/>
      <c r="L77" s="15"/>
      <c r="M77" s="15"/>
    </row>
    <row r="78" spans="1:64" x14ac:dyDescent="0.25">
      <c r="A78" s="15"/>
      <c r="B78" s="15"/>
      <c r="C78" s="42"/>
      <c r="D78" s="42"/>
      <c r="E78" s="42"/>
      <c r="F78" s="42"/>
      <c r="G78" s="42"/>
      <c r="H78" s="15"/>
      <c r="I78" s="15"/>
      <c r="J78" s="15"/>
      <c r="K78" s="15"/>
      <c r="L78" s="15"/>
      <c r="M78" s="15"/>
    </row>
    <row r="79" spans="1:64" x14ac:dyDescent="0.25">
      <c r="A79" s="15"/>
      <c r="B79" s="15"/>
      <c r="C79" s="42"/>
      <c r="D79" s="42"/>
      <c r="E79" s="42"/>
      <c r="F79" s="42"/>
      <c r="G79" s="42"/>
      <c r="H79" s="15"/>
      <c r="I79" s="15"/>
      <c r="J79" s="15"/>
      <c r="K79" s="15"/>
      <c r="L79" s="15"/>
      <c r="M79" s="15"/>
    </row>
    <row r="80" spans="1:64" x14ac:dyDescent="0.25">
      <c r="A80" s="15"/>
      <c r="B80" s="15"/>
      <c r="C80" s="42"/>
      <c r="D80" s="42"/>
      <c r="E80" s="42"/>
      <c r="F80" s="42"/>
      <c r="G80" s="42"/>
      <c r="H80" s="15"/>
      <c r="I80" s="15"/>
      <c r="J80" s="15"/>
      <c r="K80" s="15"/>
      <c r="L80" s="15"/>
      <c r="M80" s="15"/>
    </row>
    <row r="81" spans="1:13" x14ac:dyDescent="0.25">
      <c r="A81" s="15"/>
      <c r="B81" s="15"/>
      <c r="C81" s="42"/>
      <c r="D81" s="42"/>
      <c r="E81" s="42"/>
      <c r="F81" s="42"/>
      <c r="G81" s="42"/>
      <c r="H81" s="15"/>
      <c r="I81" s="15"/>
      <c r="J81" s="15"/>
      <c r="K81" s="15"/>
      <c r="L81" s="15"/>
      <c r="M81" s="15"/>
    </row>
    <row r="82" spans="1:13" x14ac:dyDescent="0.25">
      <c r="A82" s="15"/>
      <c r="B82" s="15"/>
      <c r="C82" s="42"/>
      <c r="D82" s="42"/>
      <c r="E82" s="42"/>
      <c r="F82" s="42"/>
      <c r="G82" s="42"/>
      <c r="H82" s="15"/>
      <c r="I82" s="15"/>
      <c r="J82" s="15"/>
      <c r="K82" s="15"/>
      <c r="L82" s="15"/>
      <c r="M82" s="15"/>
    </row>
    <row r="83" spans="1:13" x14ac:dyDescent="0.25">
      <c r="A83" s="15"/>
      <c r="B83" s="15"/>
      <c r="C83" s="42"/>
      <c r="D83" s="42"/>
      <c r="E83" s="42"/>
      <c r="F83" s="42"/>
      <c r="G83" s="42"/>
      <c r="H83" s="15"/>
      <c r="I83" s="15"/>
      <c r="J83" s="15"/>
      <c r="K83" s="15"/>
      <c r="L83" s="15"/>
      <c r="M83" s="15"/>
    </row>
    <row r="84" spans="1:13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</row>
    <row r="85" spans="1:13" x14ac:dyDescent="0.25">
      <c r="A85" s="15"/>
      <c r="B85" s="15"/>
      <c r="C85" s="42"/>
      <c r="D85" s="42"/>
      <c r="E85" s="42"/>
      <c r="F85" s="42"/>
      <c r="G85" s="42"/>
      <c r="H85" s="15"/>
      <c r="I85" s="15"/>
      <c r="J85" s="15"/>
      <c r="K85" s="15"/>
      <c r="L85" s="15"/>
      <c r="M85" s="15"/>
    </row>
    <row r="86" spans="1:13" x14ac:dyDescent="0.25">
      <c r="A86" s="15"/>
      <c r="B86" s="15"/>
      <c r="C86" s="42"/>
      <c r="D86" s="42"/>
      <c r="E86" s="42"/>
      <c r="F86" s="42"/>
      <c r="G86" s="42"/>
      <c r="H86" s="15"/>
      <c r="I86" s="15"/>
      <c r="J86" s="15"/>
      <c r="K86" s="15"/>
      <c r="L86" s="15"/>
      <c r="M86" s="15"/>
    </row>
    <row r="87" spans="1:13" x14ac:dyDescent="0.25">
      <c r="A87" s="15"/>
      <c r="B87" s="15"/>
      <c r="C87" s="42"/>
      <c r="D87" s="42"/>
      <c r="E87" s="42"/>
      <c r="F87" s="42"/>
      <c r="G87" s="42"/>
      <c r="H87" s="15"/>
      <c r="I87" s="15"/>
      <c r="J87" s="15"/>
      <c r="K87" s="15"/>
      <c r="L87" s="15"/>
      <c r="M87" s="15"/>
    </row>
    <row r="88" spans="1:13" x14ac:dyDescent="0.25">
      <c r="A88" s="15"/>
      <c r="B88" s="15"/>
      <c r="C88" s="42"/>
      <c r="D88" s="42"/>
      <c r="E88" s="42"/>
      <c r="F88" s="42"/>
      <c r="G88" s="42"/>
      <c r="H88" s="15"/>
      <c r="I88" s="15"/>
      <c r="J88" s="15"/>
      <c r="K88" s="15"/>
      <c r="L88" s="15"/>
      <c r="M88" s="15"/>
    </row>
    <row r="89" spans="1:13" x14ac:dyDescent="0.25">
      <c r="A89" s="15"/>
      <c r="B89" s="15"/>
      <c r="C89" s="42"/>
      <c r="D89" s="42"/>
      <c r="E89" s="42"/>
      <c r="F89" s="42"/>
      <c r="G89" s="42"/>
      <c r="H89" s="15"/>
      <c r="I89" s="15"/>
      <c r="J89" s="15"/>
      <c r="K89" s="15"/>
      <c r="L89" s="15"/>
      <c r="M89" s="15"/>
    </row>
    <row r="90" spans="1:13" x14ac:dyDescent="0.25">
      <c r="A90" s="15"/>
      <c r="B90" s="15"/>
      <c r="C90" s="42"/>
      <c r="D90" s="42"/>
      <c r="E90" s="42"/>
      <c r="F90" s="42"/>
      <c r="G90" s="42"/>
      <c r="H90" s="15"/>
      <c r="I90" s="15"/>
      <c r="J90" s="15"/>
      <c r="K90" s="15"/>
      <c r="L90" s="15"/>
      <c r="M90" s="15"/>
    </row>
    <row r="91" spans="1:13" x14ac:dyDescent="0.25">
      <c r="A91" s="15"/>
      <c r="B91" s="15"/>
      <c r="C91" s="42"/>
      <c r="D91" s="42"/>
      <c r="E91" s="42"/>
      <c r="F91" s="42"/>
      <c r="G91" s="42"/>
      <c r="H91" s="15"/>
      <c r="I91" s="15"/>
      <c r="J91" s="15"/>
      <c r="K91" s="15"/>
      <c r="L91" s="15"/>
      <c r="M91" s="15"/>
    </row>
    <row r="92" spans="1:13" x14ac:dyDescent="0.25">
      <c r="A92" s="15"/>
      <c r="B92" s="15"/>
      <c r="C92" s="42"/>
      <c r="D92" s="42"/>
      <c r="E92" s="42"/>
      <c r="F92" s="42"/>
      <c r="G92" s="42"/>
      <c r="H92" s="15"/>
      <c r="I92" s="15"/>
      <c r="J92" s="15"/>
      <c r="K92" s="15"/>
      <c r="L92" s="15"/>
      <c r="M92" s="15"/>
    </row>
    <row r="93" spans="1:13" x14ac:dyDescent="0.25">
      <c r="A93" s="15"/>
      <c r="B93" s="15"/>
      <c r="C93" s="42"/>
      <c r="D93" s="42"/>
      <c r="E93" s="42"/>
      <c r="F93" s="42"/>
      <c r="G93" s="42"/>
      <c r="H93" s="15"/>
      <c r="I93" s="15"/>
      <c r="J93" s="15"/>
      <c r="K93" s="15"/>
      <c r="L93" s="15"/>
      <c r="M93" s="15"/>
    </row>
    <row r="94" spans="1:13" x14ac:dyDescent="0.25">
      <c r="C94" s="2"/>
      <c r="D94" s="2"/>
      <c r="E94" s="2"/>
      <c r="F94" s="2"/>
      <c r="G94" s="2"/>
    </row>
    <row r="95" spans="1:13" x14ac:dyDescent="0.25">
      <c r="C95" s="2"/>
      <c r="D95" s="2"/>
      <c r="E95" s="2"/>
      <c r="F95" s="2"/>
      <c r="G95" s="2"/>
    </row>
    <row r="96" spans="1:13" x14ac:dyDescent="0.25">
      <c r="C96" s="2"/>
      <c r="D96" s="2"/>
      <c r="E96" s="2"/>
      <c r="F96" s="2"/>
      <c r="G96" s="2"/>
    </row>
    <row r="97" spans="3:7" x14ac:dyDescent="0.25">
      <c r="C97" s="2"/>
      <c r="D97" s="2"/>
      <c r="E97" s="2"/>
      <c r="F97" s="2"/>
      <c r="G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  <c r="G100" s="2"/>
    </row>
    <row r="101" spans="3:7" x14ac:dyDescent="0.25">
      <c r="C101" s="2"/>
      <c r="D101" s="2"/>
      <c r="E101" s="2"/>
      <c r="F101" s="2"/>
      <c r="G101" s="2"/>
    </row>
    <row r="102" spans="3:7" x14ac:dyDescent="0.25">
      <c r="C102" s="2"/>
      <c r="D102" s="2"/>
      <c r="E102" s="2"/>
      <c r="F102" s="2"/>
      <c r="G102" s="2"/>
    </row>
    <row r="103" spans="3:7" x14ac:dyDescent="0.25">
      <c r="C103" s="2"/>
      <c r="D103" s="2"/>
      <c r="E103" s="2"/>
      <c r="F103" s="2"/>
      <c r="G103" s="2"/>
    </row>
    <row r="104" spans="3:7" x14ac:dyDescent="0.25">
      <c r="C104" s="2"/>
      <c r="D104" s="2"/>
      <c r="E104" s="2"/>
      <c r="F104" s="2"/>
      <c r="G104" s="2"/>
    </row>
    <row r="105" spans="3:7" x14ac:dyDescent="0.25">
      <c r="C105" s="2"/>
      <c r="D105" s="2"/>
      <c r="E105" s="2"/>
      <c r="F105" s="2"/>
      <c r="G105" s="2"/>
    </row>
    <row r="106" spans="3:7" x14ac:dyDescent="0.25">
      <c r="C106" s="2"/>
      <c r="D106" s="2"/>
      <c r="E106" s="2"/>
      <c r="F106" s="2"/>
      <c r="G106" s="2"/>
    </row>
    <row r="107" spans="3:7" x14ac:dyDescent="0.25">
      <c r="C107" s="2"/>
      <c r="D107" s="2"/>
      <c r="E107" s="2"/>
      <c r="F107" s="2"/>
      <c r="G107" s="2"/>
    </row>
    <row r="108" spans="3:7" x14ac:dyDescent="0.25">
      <c r="C108" s="2"/>
      <c r="D108" s="2"/>
      <c r="E108" s="2"/>
      <c r="F108" s="2"/>
      <c r="G108" s="2"/>
    </row>
    <row r="109" spans="3:7" x14ac:dyDescent="0.25">
      <c r="C109" s="2"/>
      <c r="D109" s="2"/>
      <c r="E109" s="2"/>
      <c r="F109" s="2"/>
      <c r="G109" s="2"/>
    </row>
    <row r="110" spans="3:7" x14ac:dyDescent="0.25">
      <c r="C110" s="2"/>
      <c r="D110" s="2"/>
      <c r="E110" s="2"/>
      <c r="F110" s="2"/>
      <c r="G110" s="2"/>
    </row>
    <row r="111" spans="3:7" x14ac:dyDescent="0.25">
      <c r="C111" s="2"/>
      <c r="D111" s="2"/>
      <c r="E111" s="2"/>
      <c r="F111" s="2"/>
      <c r="G111" s="2"/>
    </row>
    <row r="112" spans="3:7" x14ac:dyDescent="0.25">
      <c r="C112" s="2"/>
      <c r="D112" s="2"/>
      <c r="E112" s="2"/>
      <c r="F112" s="2"/>
      <c r="G112" s="2"/>
    </row>
    <row r="113" spans="3:7" x14ac:dyDescent="0.25">
      <c r="C113" s="2"/>
      <c r="D113" s="2"/>
      <c r="E113" s="2"/>
      <c r="F113" s="2"/>
      <c r="G113" s="2"/>
    </row>
    <row r="114" spans="3:7" x14ac:dyDescent="0.25">
      <c r="C114" s="2"/>
      <c r="D114" s="2"/>
      <c r="E114" s="2"/>
      <c r="F114" s="2"/>
      <c r="G114" s="2"/>
    </row>
    <row r="115" spans="3:7" x14ac:dyDescent="0.25">
      <c r="C115" s="2"/>
      <c r="D115" s="2"/>
      <c r="E115" s="2"/>
      <c r="F115" s="2"/>
      <c r="G115" s="2"/>
    </row>
    <row r="116" spans="3:7" x14ac:dyDescent="0.25">
      <c r="C116" s="2"/>
      <c r="D116" s="2"/>
      <c r="E116" s="2"/>
      <c r="F116" s="2"/>
      <c r="G116" s="2"/>
    </row>
    <row r="117" spans="3:7" x14ac:dyDescent="0.25">
      <c r="C117" s="2"/>
      <c r="D117" s="2"/>
      <c r="E117" s="2"/>
      <c r="F117" s="2"/>
      <c r="G117" s="2"/>
    </row>
    <row r="118" spans="3:7" x14ac:dyDescent="0.25">
      <c r="C118" s="2"/>
      <c r="D118" s="2"/>
      <c r="E118" s="2"/>
      <c r="F118" s="2"/>
      <c r="G118" s="2"/>
    </row>
    <row r="119" spans="3:7" x14ac:dyDescent="0.25">
      <c r="C119" s="2"/>
      <c r="D119" s="2"/>
      <c r="E119" s="2"/>
      <c r="F119" s="2"/>
      <c r="G119" s="2"/>
    </row>
    <row r="120" spans="3:7" x14ac:dyDescent="0.25">
      <c r="C120" s="2"/>
      <c r="D120" s="2"/>
      <c r="E120" s="2"/>
      <c r="F120" s="2"/>
      <c r="G120" s="2"/>
    </row>
    <row r="121" spans="3:7" x14ac:dyDescent="0.25">
      <c r="C121" s="2"/>
      <c r="D121" s="2"/>
      <c r="E121" s="2"/>
      <c r="F121" s="2"/>
      <c r="G121" s="2"/>
    </row>
    <row r="122" spans="3:7" x14ac:dyDescent="0.25">
      <c r="C122" s="2"/>
      <c r="D122" s="2"/>
      <c r="E122" s="2"/>
      <c r="F122" s="2"/>
      <c r="G122" s="2"/>
    </row>
    <row r="123" spans="3:7" x14ac:dyDescent="0.25">
      <c r="C123" s="2"/>
      <c r="D123" s="2"/>
      <c r="E123" s="2"/>
      <c r="F123" s="2"/>
      <c r="G123" s="2"/>
    </row>
    <row r="124" spans="3:7" x14ac:dyDescent="0.25">
      <c r="C124" s="2"/>
      <c r="D124" s="2"/>
      <c r="E124" s="2"/>
      <c r="F124" s="2"/>
      <c r="G124" s="2"/>
    </row>
    <row r="125" spans="3:7" x14ac:dyDescent="0.25">
      <c r="C125" s="2"/>
      <c r="D125" s="2"/>
      <c r="E125" s="2"/>
      <c r="F125" s="2"/>
      <c r="G125" s="2"/>
    </row>
    <row r="126" spans="3:7" x14ac:dyDescent="0.25">
      <c r="C126" s="2"/>
      <c r="D126" s="2"/>
      <c r="E126" s="2"/>
      <c r="F126" s="2"/>
      <c r="G126" s="2"/>
    </row>
    <row r="127" spans="3:7" x14ac:dyDescent="0.25">
      <c r="C127" s="2"/>
      <c r="D127" s="2"/>
      <c r="E127" s="2"/>
      <c r="F127" s="2"/>
      <c r="G127" s="2"/>
    </row>
    <row r="128" spans="3:7" x14ac:dyDescent="0.25">
      <c r="C128" s="2"/>
      <c r="D128" s="2"/>
      <c r="E128" s="2"/>
      <c r="F128" s="2"/>
      <c r="G128" s="2"/>
    </row>
    <row r="129" spans="3:7" x14ac:dyDescent="0.25">
      <c r="C129" s="2"/>
      <c r="D129" s="2"/>
      <c r="E129" s="2"/>
      <c r="F129" s="2"/>
      <c r="G129" s="2"/>
    </row>
    <row r="130" spans="3:7" x14ac:dyDescent="0.25">
      <c r="C130" s="2"/>
      <c r="D130" s="2"/>
      <c r="E130" s="2"/>
      <c r="F130" s="2"/>
      <c r="G130" s="2"/>
    </row>
    <row r="131" spans="3:7" x14ac:dyDescent="0.25">
      <c r="C131" s="2"/>
      <c r="D131" s="2"/>
      <c r="E131" s="2"/>
      <c r="F131" s="2"/>
      <c r="G131" s="2"/>
    </row>
    <row r="132" spans="3:7" x14ac:dyDescent="0.25">
      <c r="C132" s="2"/>
      <c r="D132" s="2"/>
      <c r="E132" s="2"/>
      <c r="F132" s="2"/>
      <c r="G132" s="2"/>
    </row>
    <row r="133" spans="3:7" x14ac:dyDescent="0.25">
      <c r="C133" s="2"/>
      <c r="D133" s="2"/>
      <c r="E133" s="2"/>
      <c r="F133" s="2"/>
      <c r="G133" s="2"/>
    </row>
    <row r="134" spans="3:7" x14ac:dyDescent="0.25">
      <c r="C134" s="2"/>
      <c r="D134" s="2"/>
      <c r="E134" s="2"/>
      <c r="F134" s="2"/>
      <c r="G134" s="2"/>
    </row>
    <row r="135" spans="3:7" x14ac:dyDescent="0.25">
      <c r="C135" s="2"/>
      <c r="D135" s="2"/>
      <c r="E135" s="2"/>
      <c r="F135" s="2"/>
      <c r="G135" s="2"/>
    </row>
    <row r="136" spans="3:7" x14ac:dyDescent="0.25">
      <c r="C136" s="2"/>
      <c r="D136" s="2"/>
      <c r="E136" s="2"/>
      <c r="F136" s="2"/>
      <c r="G136" s="2"/>
    </row>
    <row r="137" spans="3:7" x14ac:dyDescent="0.25">
      <c r="C137" s="2"/>
      <c r="D137" s="2"/>
      <c r="E137" s="2"/>
      <c r="F137" s="2"/>
      <c r="G137" s="2"/>
    </row>
    <row r="138" spans="3:7" x14ac:dyDescent="0.25">
      <c r="C138" s="2"/>
      <c r="D138" s="2"/>
      <c r="E138" s="2"/>
      <c r="F138" s="2"/>
      <c r="G138" s="2"/>
    </row>
    <row r="139" spans="3:7" x14ac:dyDescent="0.25">
      <c r="C139" s="2"/>
      <c r="D139" s="2"/>
      <c r="E139" s="2"/>
      <c r="F139" s="2"/>
      <c r="G139" s="2"/>
    </row>
    <row r="140" spans="3:7" x14ac:dyDescent="0.25">
      <c r="C140" s="2"/>
      <c r="D140" s="2"/>
      <c r="E140" s="2"/>
      <c r="F140" s="2"/>
      <c r="G140" s="2"/>
    </row>
    <row r="141" spans="3:7" x14ac:dyDescent="0.25">
      <c r="C141" s="2"/>
      <c r="D141" s="2"/>
      <c r="E141" s="2"/>
      <c r="F141" s="2"/>
      <c r="G141" s="2"/>
    </row>
    <row r="142" spans="3:7" x14ac:dyDescent="0.25">
      <c r="C142" s="2"/>
      <c r="D142" s="2"/>
      <c r="E142" s="2"/>
      <c r="F142" s="2"/>
      <c r="G142" s="2"/>
    </row>
    <row r="143" spans="3:7" x14ac:dyDescent="0.25">
      <c r="C143" s="2"/>
      <c r="D143" s="2"/>
      <c r="E143" s="2"/>
      <c r="F143" s="2"/>
      <c r="G143" s="2"/>
    </row>
    <row r="144" spans="3:7" x14ac:dyDescent="0.25">
      <c r="C144" s="2"/>
      <c r="D144" s="2"/>
      <c r="E144" s="2"/>
      <c r="F144" s="2"/>
      <c r="G144" s="2"/>
    </row>
    <row r="145" spans="3:7" x14ac:dyDescent="0.25">
      <c r="C145" s="2"/>
      <c r="D145" s="2"/>
      <c r="E145" s="2"/>
      <c r="F145" s="2"/>
      <c r="G145" s="2"/>
    </row>
    <row r="146" spans="3:7" x14ac:dyDescent="0.25">
      <c r="C146" s="2"/>
      <c r="D146" s="2"/>
      <c r="E146" s="2"/>
      <c r="F146" s="2"/>
      <c r="G146" s="2"/>
    </row>
    <row r="147" spans="3:7" x14ac:dyDescent="0.25">
      <c r="C147" s="2"/>
      <c r="D147" s="2"/>
      <c r="E147" s="2"/>
      <c r="F147" s="2"/>
      <c r="G147" s="2"/>
    </row>
    <row r="148" spans="3:7" x14ac:dyDescent="0.25">
      <c r="C148" s="2"/>
      <c r="D148" s="2"/>
      <c r="E148" s="2"/>
      <c r="F148" s="2"/>
      <c r="G148" s="2"/>
    </row>
    <row r="149" spans="3:7" x14ac:dyDescent="0.25">
      <c r="C149" s="2"/>
      <c r="D149" s="2"/>
      <c r="E149" s="2"/>
      <c r="F149" s="2"/>
      <c r="G149" s="2"/>
    </row>
    <row r="150" spans="3:7" x14ac:dyDescent="0.25">
      <c r="C150" s="2"/>
      <c r="D150" s="2"/>
      <c r="E150" s="2"/>
      <c r="F150" s="2"/>
      <c r="G150" s="2"/>
    </row>
    <row r="151" spans="3:7" x14ac:dyDescent="0.25">
      <c r="C151" s="2"/>
      <c r="D151" s="2"/>
      <c r="E151" s="2"/>
      <c r="F151" s="2"/>
      <c r="G151" s="2"/>
    </row>
    <row r="152" spans="3:7" x14ac:dyDescent="0.25">
      <c r="C152" s="2"/>
      <c r="D152" s="2"/>
      <c r="E152" s="2"/>
      <c r="F152" s="2"/>
      <c r="G152" s="2"/>
    </row>
    <row r="153" spans="3:7" x14ac:dyDescent="0.25">
      <c r="C153" s="2"/>
      <c r="D153" s="2"/>
      <c r="E153" s="2"/>
      <c r="F153" s="2"/>
      <c r="G153" s="2"/>
    </row>
    <row r="154" spans="3:7" x14ac:dyDescent="0.25">
      <c r="C154" s="2"/>
      <c r="D154" s="2"/>
      <c r="E154" s="2"/>
      <c r="F154" s="2"/>
      <c r="G154" s="2"/>
    </row>
    <row r="155" spans="3:7" x14ac:dyDescent="0.25">
      <c r="C155" s="2"/>
      <c r="D155" s="2"/>
      <c r="E155" s="2"/>
      <c r="F155" s="2"/>
      <c r="G155" s="2"/>
    </row>
    <row r="156" spans="3:7" x14ac:dyDescent="0.25">
      <c r="C156" s="2"/>
      <c r="D156" s="2"/>
      <c r="E156" s="2"/>
      <c r="F156" s="2"/>
      <c r="G156" s="2"/>
    </row>
    <row r="157" spans="3:7" x14ac:dyDescent="0.25">
      <c r="C157" s="2"/>
      <c r="D157" s="2"/>
      <c r="E157" s="2"/>
      <c r="F157" s="2"/>
      <c r="G157" s="2"/>
    </row>
    <row r="158" spans="3:7" x14ac:dyDescent="0.25">
      <c r="C158" s="2"/>
      <c r="D158" s="2"/>
      <c r="E158" s="2"/>
      <c r="F158" s="2"/>
      <c r="G158" s="2"/>
    </row>
    <row r="159" spans="3:7" x14ac:dyDescent="0.25">
      <c r="C159" s="2"/>
      <c r="D159" s="2"/>
      <c r="E159" s="2"/>
      <c r="F159" s="2"/>
      <c r="G159" s="2"/>
    </row>
    <row r="160" spans="3:7" x14ac:dyDescent="0.25">
      <c r="C160" s="2"/>
      <c r="D160" s="2"/>
      <c r="E160" s="2"/>
      <c r="F160" s="2"/>
      <c r="G160" s="2"/>
    </row>
    <row r="161" spans="3:7" x14ac:dyDescent="0.25">
      <c r="C161" s="2"/>
      <c r="D161" s="2"/>
      <c r="E161" s="2"/>
      <c r="F161" s="2"/>
      <c r="G161" s="2"/>
    </row>
    <row r="162" spans="3:7" x14ac:dyDescent="0.25">
      <c r="C162" s="2"/>
      <c r="D162" s="2"/>
      <c r="E162" s="2"/>
      <c r="F162" s="2"/>
      <c r="G162" s="2"/>
    </row>
    <row r="163" spans="3:7" x14ac:dyDescent="0.25">
      <c r="C163" s="2"/>
      <c r="D163" s="2"/>
      <c r="E163" s="2"/>
      <c r="F163" s="2"/>
      <c r="G163" s="2"/>
    </row>
    <row r="164" spans="3:7" x14ac:dyDescent="0.25">
      <c r="C164" s="2"/>
      <c r="D164" s="2"/>
      <c r="E164" s="2"/>
      <c r="F164" s="2"/>
      <c r="G164" s="2"/>
    </row>
    <row r="165" spans="3:7" x14ac:dyDescent="0.25">
      <c r="C165" s="2"/>
      <c r="D165" s="2"/>
      <c r="E165" s="2"/>
      <c r="F165" s="2"/>
      <c r="G165" s="2"/>
    </row>
    <row r="166" spans="3:7" x14ac:dyDescent="0.25">
      <c r="C166" s="2"/>
      <c r="D166" s="2"/>
      <c r="E166" s="2"/>
      <c r="F166" s="2"/>
      <c r="G166" s="2"/>
    </row>
    <row r="167" spans="3:7" x14ac:dyDescent="0.25">
      <c r="C167" s="2"/>
      <c r="D167" s="2"/>
      <c r="E167" s="2"/>
      <c r="F167" s="2"/>
      <c r="G167" s="2"/>
    </row>
    <row r="168" spans="3:7" x14ac:dyDescent="0.25">
      <c r="C168" s="2"/>
      <c r="D168" s="2"/>
      <c r="E168" s="2"/>
      <c r="F168" s="2"/>
      <c r="G168" s="2"/>
    </row>
    <row r="169" spans="3:7" x14ac:dyDescent="0.25">
      <c r="C169" s="2"/>
      <c r="D169" s="2"/>
      <c r="E169" s="2"/>
      <c r="F169" s="2"/>
      <c r="G169" s="2"/>
    </row>
    <row r="170" spans="3:7" x14ac:dyDescent="0.25">
      <c r="C170" s="2"/>
      <c r="D170" s="2"/>
      <c r="E170" s="2"/>
      <c r="F170" s="2"/>
      <c r="G170" s="2"/>
    </row>
    <row r="171" spans="3:7" x14ac:dyDescent="0.25">
      <c r="C171" s="2"/>
      <c r="D171" s="2"/>
      <c r="E171" s="2"/>
      <c r="F171" s="2"/>
      <c r="G171" s="2"/>
    </row>
    <row r="172" spans="3:7" x14ac:dyDescent="0.25">
      <c r="C172" s="2"/>
      <c r="D172" s="2"/>
      <c r="E172" s="2"/>
      <c r="F172" s="2"/>
      <c r="G172" s="2"/>
    </row>
    <row r="173" spans="3:7" x14ac:dyDescent="0.25">
      <c r="C173" s="2"/>
      <c r="D173" s="2"/>
      <c r="E173" s="2"/>
      <c r="F173" s="2"/>
      <c r="G173" s="2"/>
    </row>
  </sheetData>
  <sheetProtection algorithmName="SHA-512" hashValue="7Tz69xBF8DwjhLiobT/6N3fFXScHkOCHgmEpoHU2NrrCrsYlt/7hBRzx0sJ8eADTyYUsw3XKknAyo5mZeLCFtg==" saltValue="MMD5l2RNk3slAxU0J7RSjQ==" spinCount="100000" sheet="1" objects="1" scenarios="1"/>
  <mergeCells count="62">
    <mergeCell ref="D15:F15"/>
    <mergeCell ref="D17:F17"/>
    <mergeCell ref="D19:F19"/>
    <mergeCell ref="D33:E33"/>
    <mergeCell ref="D34:E34"/>
    <mergeCell ref="D28:E28"/>
    <mergeCell ref="D30:E30"/>
    <mergeCell ref="D32:E32"/>
    <mergeCell ref="C40:F40"/>
    <mergeCell ref="C41:F41"/>
    <mergeCell ref="D27:E27"/>
    <mergeCell ref="D29:E29"/>
    <mergeCell ref="D31:E31"/>
    <mergeCell ref="I17:J17"/>
    <mergeCell ref="D25:E25"/>
    <mergeCell ref="C37:D37"/>
    <mergeCell ref="C24:D24"/>
    <mergeCell ref="D39:E39"/>
    <mergeCell ref="D26:E26"/>
    <mergeCell ref="C42:F42"/>
    <mergeCell ref="C43:F43"/>
    <mergeCell ref="C44:F44"/>
    <mergeCell ref="C45:F45"/>
    <mergeCell ref="C46:F46"/>
    <mergeCell ref="C47:F47"/>
    <mergeCell ref="C48:F48"/>
    <mergeCell ref="C49:F49"/>
    <mergeCell ref="C50:F50"/>
    <mergeCell ref="C51:F51"/>
    <mergeCell ref="C52:F52"/>
    <mergeCell ref="C53:F53"/>
    <mergeCell ref="H40:M40"/>
    <mergeCell ref="H41:M41"/>
    <mergeCell ref="H42:M42"/>
    <mergeCell ref="H43:M43"/>
    <mergeCell ref="H44:M44"/>
    <mergeCell ref="H45:M45"/>
    <mergeCell ref="H46:M46"/>
    <mergeCell ref="H47:M47"/>
    <mergeCell ref="H48:M48"/>
    <mergeCell ref="H49:M49"/>
    <mergeCell ref="H50:M50"/>
    <mergeCell ref="H51:M51"/>
    <mergeCell ref="H52:M52"/>
    <mergeCell ref="H53:M53"/>
    <mergeCell ref="E59:I59"/>
    <mergeCell ref="E60:I60"/>
    <mergeCell ref="E61:I61"/>
    <mergeCell ref="E62:I62"/>
    <mergeCell ref="E63:I63"/>
    <mergeCell ref="E64:I64"/>
    <mergeCell ref="E65:I65"/>
    <mergeCell ref="E66:I66"/>
    <mergeCell ref="E67:I67"/>
    <mergeCell ref="E68:I68"/>
    <mergeCell ref="E74:I74"/>
    <mergeCell ref="E75:I75"/>
    <mergeCell ref="E69:I69"/>
    <mergeCell ref="E70:I70"/>
    <mergeCell ref="E71:I71"/>
    <mergeCell ref="E72:I72"/>
    <mergeCell ref="E73:I73"/>
  </mergeCells>
  <conditionalFormatting sqref="F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{89B0BA79-1BB4-480D-AB82-206F212093CD}</x14:id>
        </ext>
      </extLst>
    </cfRule>
  </conditionalFormatting>
  <dataValidations count="3">
    <dataValidation type="whole" allowBlank="1" showInputMessage="1" showErrorMessage="1" promptTitle="Batch No" prompt="Put the batch number." sqref="G15">
      <formula1>1</formula1>
      <formula2>100</formula2>
    </dataValidation>
    <dataValidation operator="notEqual" allowBlank="1" showInputMessage="1" showErrorMessage="1" sqref="K17"/>
    <dataValidation type="list" allowBlank="1" showInputMessage="1" showErrorMessage="1" sqref="I17:J17">
      <formula1>District</formula1>
    </dataValidation>
  </dataValidations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B0BA79-1BB4-480D-AB82-206F212093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iconSet" priority="4" id="{7AF281F7-010A-4CA2-B619-656429C1A63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M66</xm:sqref>
        </x14:conditionalFormatting>
        <x14:conditionalFormatting xmlns:xm="http://schemas.microsoft.com/office/excel/2006/main">
          <x14:cfRule type="cellIs" priority="2" operator="equal" id="{79CEE0DF-5072-4A75-B5E2-4A96A625DCAD}">
            <xm:f>TrainingVenue!$M$10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3" operator="equal" id="{4DD2617A-64B4-46E4-9DE2-384EF7EE508E}">
            <xm:f>TrainingVenue!$L$10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J25:L26 J54:L66 L39 J33:L38 L27:L32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operator="greaterThan" allowBlank="1" showInputMessage="1" showErrorMessage="1">
          <x14:formula1>
            <xm:f>Date!$B$6:$B$36</xm:f>
          </x14:formula1>
          <xm:sqref>K15</xm:sqref>
        </x14:dataValidation>
        <x14:dataValidation type="list" allowBlank="1" showInputMessage="1" showErrorMessage="1">
          <x14:formula1>
            <xm:f>Date!$C$6:$C$17</xm:f>
          </x14:formula1>
          <xm:sqref>L15</xm:sqref>
        </x14:dataValidation>
        <x14:dataValidation type="list" allowBlank="1" showInputMessage="1" showErrorMessage="1">
          <x14:formula1>
            <xm:f>Date!$D$6:$D$7</xm:f>
          </x14:formula1>
          <xm:sqref>M15</xm:sqref>
        </x14:dataValidation>
        <x14:dataValidation type="list" allowBlank="1" showInputMessage="1" showErrorMessage="1">
          <x14:formula1>
            <xm:f>TrainingVenue!$C$15:$S$15</xm:f>
          </x14:formula1>
          <xm:sqref>D25:E34</xm:sqref>
        </x14:dataValidation>
        <x14:dataValidation type="list" allowBlank="1" showInputMessage="1" showErrorMessage="1" promptTitle="Group ID" prompt="Select Group ID from the dropdown list">
          <x14:formula1>
            <xm:f>DTGroup!$B$2:$B$21</xm:f>
          </x14:formula1>
          <xm:sqref>D15:F15</xm:sqref>
        </x14:dataValidation>
        <x14:dataValidation type="list" operator="greaterThan" allowBlank="1" showInputMessage="1" showErrorMessage="1">
          <x14:formula1>
            <xm:f>Date!$B$2:$B$32</xm:f>
          </x14:formula1>
          <xm:sqref>I29 I31</xm:sqref>
        </x14:dataValidation>
        <x14:dataValidation type="list" allowBlank="1" showInputMessage="1" showErrorMessage="1">
          <x14:formula1>
            <xm:f>Date!$A$2:$A$13</xm:f>
          </x14:formula1>
          <xm:sqref>J29 J31</xm:sqref>
        </x14:dataValidation>
        <x14:dataValidation type="list" allowBlank="1" showInputMessage="1" showErrorMessage="1">
          <x14:formula1>
            <xm:f>Date!$C$2:$C$3</xm:f>
          </x14:formula1>
          <xm:sqref>K29 K31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5:N20"/>
  <sheetViews>
    <sheetView showGridLines="0" topLeftCell="A7" workbookViewId="0">
      <selection activeCell="D27" sqref="D27"/>
    </sheetView>
  </sheetViews>
  <sheetFormatPr defaultRowHeight="14.25" x14ac:dyDescent="0.2"/>
  <cols>
    <col min="1" max="16384" width="9" style="43"/>
  </cols>
  <sheetData>
    <row r="15" spans="2:9" ht="15.75" x14ac:dyDescent="0.25">
      <c r="B15" s="2"/>
      <c r="C15" s="2"/>
      <c r="D15" s="1"/>
      <c r="E15" s="1"/>
      <c r="F15" s="1"/>
      <c r="G15" s="1"/>
      <c r="H15" s="1"/>
    </row>
    <row r="16" spans="2:9" ht="15.75" x14ac:dyDescent="0.25">
      <c r="B16" s="2"/>
      <c r="C16" s="2"/>
      <c r="D16" s="1"/>
      <c r="E16" s="1"/>
      <c r="F16" s="1"/>
      <c r="G16" s="1"/>
      <c r="H16" s="1"/>
      <c r="I16" s="44" t="s">
        <v>105</v>
      </c>
    </row>
    <row r="17" spans="2:14" ht="15.75" x14ac:dyDescent="0.25">
      <c r="B17" s="115" t="s">
        <v>98</v>
      </c>
      <c r="C17" s="116"/>
      <c r="D17" s="117" t="str">
        <f>DTGroup!F13</f>
        <v>0</v>
      </c>
      <c r="E17" s="117"/>
      <c r="F17" s="117"/>
      <c r="G17" s="1"/>
      <c r="H17" s="1"/>
    </row>
    <row r="18" spans="2:14" ht="15.75" x14ac:dyDescent="0.25">
      <c r="B18" s="2"/>
      <c r="C18" s="1"/>
      <c r="D18" s="111"/>
      <c r="E18" s="111"/>
      <c r="F18" s="1"/>
      <c r="G18" s="1"/>
      <c r="H18" s="1"/>
      <c r="I18" s="111" t="s">
        <v>107</v>
      </c>
      <c r="J18" s="111"/>
      <c r="K18" s="111"/>
      <c r="L18" s="112" t="s">
        <v>108</v>
      </c>
      <c r="M18" s="113"/>
      <c r="N18" s="114"/>
    </row>
    <row r="19" spans="2:14" ht="15.75" x14ac:dyDescent="0.25">
      <c r="B19" s="115" t="s">
        <v>106</v>
      </c>
      <c r="C19" s="116"/>
      <c r="D19" s="117" t="e">
        <f>TrainingVenue!B18</f>
        <v>#N/A</v>
      </c>
      <c r="E19" s="117"/>
      <c r="F19" s="117"/>
      <c r="G19" s="1"/>
      <c r="H19" s="1"/>
    </row>
    <row r="20" spans="2:14" ht="15.75" x14ac:dyDescent="0.25">
      <c r="B20" s="2"/>
      <c r="C20" s="2"/>
      <c r="D20" s="1"/>
      <c r="E20" s="1"/>
      <c r="F20" s="1"/>
      <c r="G20" s="1"/>
      <c r="H20" s="1"/>
      <c r="I20" s="111"/>
      <c r="J20" s="111"/>
      <c r="K20" s="111"/>
    </row>
  </sheetData>
  <sheetProtection algorithmName="SHA-512" hashValue="d83qfy4NZFuU5PmvYKPEeh81//WYxVxSOTQr41LOUd9QtKFq+dajA1WCA2gK1VljUM1knFF/XMoKEZ5jWLT4qg==" saltValue="jaJ+oH5aVi0CYvR25U7rIA==" spinCount="100000" sheet="1" objects="1" scenarios="1"/>
  <mergeCells count="8">
    <mergeCell ref="I20:K20"/>
    <mergeCell ref="I18:K18"/>
    <mergeCell ref="L18:N18"/>
    <mergeCell ref="B17:C17"/>
    <mergeCell ref="D17:F17"/>
    <mergeCell ref="D18:E18"/>
    <mergeCell ref="B19:C19"/>
    <mergeCell ref="D19:F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SavNam">
                <anchor>
                  <from>
                    <xdr:col>3</xdr:col>
                    <xdr:colOff>561975</xdr:colOff>
                    <xdr:row>20</xdr:row>
                    <xdr:rowOff>76200</xdr:rowOff>
                  </from>
                  <to>
                    <xdr:col>5</xdr:col>
                    <xdr:colOff>95250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5"/>
  <sheetViews>
    <sheetView workbookViewId="0">
      <selection activeCell="D20" sqref="D20"/>
    </sheetView>
  </sheetViews>
  <sheetFormatPr defaultRowHeight="15.75" x14ac:dyDescent="0.25"/>
  <cols>
    <col min="1" max="1" width="15.625" style="15" bestFit="1" customWidth="1"/>
    <col min="2" max="2" width="12" style="15" bestFit="1" customWidth="1"/>
    <col min="3" max="3" width="8.5" style="15" bestFit="1" customWidth="1"/>
    <col min="4" max="4" width="9.375" style="15" bestFit="1" customWidth="1"/>
    <col min="5" max="5" width="20.75" style="15" bestFit="1" customWidth="1"/>
    <col min="6" max="6" width="10.75" style="15" bestFit="1" customWidth="1"/>
    <col min="7" max="7" width="12.375" style="15" bestFit="1" customWidth="1"/>
    <col min="8" max="8" width="15.375" style="15" bestFit="1" customWidth="1"/>
    <col min="9" max="9" width="18.75" style="15" bestFit="1" customWidth="1"/>
    <col min="10" max="10" width="16.625" style="15" bestFit="1" customWidth="1"/>
    <col min="11" max="11" width="9.125" style="15" bestFit="1" customWidth="1"/>
    <col min="12" max="12" width="8.375" style="15" bestFit="1" customWidth="1"/>
    <col min="13" max="13" width="6.375" style="15" bestFit="1" customWidth="1"/>
    <col min="14" max="14" width="7.75" style="15" bestFit="1" customWidth="1"/>
    <col min="15" max="15" width="7" style="15" bestFit="1" customWidth="1"/>
    <col min="16" max="16" width="11.125" style="15" bestFit="1" customWidth="1"/>
    <col min="17" max="17" width="10.125" style="15" bestFit="1" customWidth="1"/>
    <col min="18" max="18" width="8.875" style="15" bestFit="1" customWidth="1"/>
    <col min="19" max="19" width="5.25" style="15" bestFit="1" customWidth="1"/>
    <col min="20" max="16384" width="9" style="15"/>
  </cols>
  <sheetData>
    <row r="1" spans="1:19" x14ac:dyDescent="0.25">
      <c r="A1" s="13" t="s">
        <v>1</v>
      </c>
      <c r="B1" s="13" t="s">
        <v>38</v>
      </c>
      <c r="C1" s="13">
        <v>1</v>
      </c>
      <c r="D1" s="13">
        <v>2</v>
      </c>
      <c r="E1" s="13">
        <v>3</v>
      </c>
      <c r="F1" s="13">
        <v>4</v>
      </c>
      <c r="G1" s="13">
        <v>5</v>
      </c>
      <c r="H1" s="13">
        <v>6</v>
      </c>
      <c r="I1" s="13">
        <v>7</v>
      </c>
      <c r="J1" s="13">
        <v>8</v>
      </c>
      <c r="K1" s="13">
        <v>9</v>
      </c>
      <c r="L1" s="13">
        <v>10</v>
      </c>
      <c r="M1" s="13">
        <v>11</v>
      </c>
      <c r="N1" s="13">
        <v>12</v>
      </c>
      <c r="O1" s="13">
        <v>13</v>
      </c>
      <c r="P1" s="13">
        <v>14</v>
      </c>
      <c r="Q1" s="13">
        <v>15</v>
      </c>
      <c r="R1" s="13">
        <v>16</v>
      </c>
      <c r="S1" s="13">
        <v>17</v>
      </c>
    </row>
    <row r="2" spans="1:19" x14ac:dyDescent="0.25">
      <c r="A2" s="66" t="s">
        <v>3</v>
      </c>
      <c r="B2" s="68" t="s">
        <v>39</v>
      </c>
      <c r="C2" s="68" t="s">
        <v>8</v>
      </c>
      <c r="D2" s="68" t="s">
        <v>19</v>
      </c>
      <c r="E2" s="68" t="s">
        <v>20</v>
      </c>
      <c r="F2" s="68" t="s">
        <v>13</v>
      </c>
      <c r="G2" s="68" t="s">
        <v>99</v>
      </c>
      <c r="H2" s="68" t="s">
        <v>21</v>
      </c>
      <c r="I2" s="68" t="e">
        <v>#N/A</v>
      </c>
      <c r="J2" s="68" t="e">
        <v>#N/A</v>
      </c>
      <c r="K2" s="68" t="e">
        <v>#N/A</v>
      </c>
      <c r="L2" s="68" t="e">
        <v>#N/A</v>
      </c>
      <c r="M2" s="68" t="e">
        <v>#N/A</v>
      </c>
      <c r="N2" s="68" t="e">
        <v>#N/A</v>
      </c>
      <c r="O2" s="68" t="e">
        <v>#N/A</v>
      </c>
      <c r="P2" s="68" t="e">
        <v>#N/A</v>
      </c>
      <c r="Q2" s="68" t="e">
        <v>#N/A</v>
      </c>
      <c r="R2" s="68" t="e">
        <v>#N/A</v>
      </c>
      <c r="S2" s="68" t="e">
        <v>#N/A</v>
      </c>
    </row>
    <row r="3" spans="1:19" x14ac:dyDescent="0.25">
      <c r="A3" s="66" t="s">
        <v>4</v>
      </c>
      <c r="B3" s="68" t="s">
        <v>40</v>
      </c>
      <c r="C3" s="68" t="s">
        <v>8</v>
      </c>
      <c r="D3" s="68" t="s">
        <v>14</v>
      </c>
      <c r="E3" s="68" t="s">
        <v>16</v>
      </c>
      <c r="F3" s="68" t="s">
        <v>15</v>
      </c>
      <c r="G3" s="68" t="s">
        <v>17</v>
      </c>
      <c r="H3" s="68" t="e">
        <v>#N/A</v>
      </c>
      <c r="I3" s="68" t="e">
        <v>#N/A</v>
      </c>
      <c r="J3" s="68" t="e">
        <v>#N/A</v>
      </c>
      <c r="K3" s="68" t="e">
        <v>#N/A</v>
      </c>
      <c r="L3" s="68" t="e">
        <v>#N/A</v>
      </c>
      <c r="M3" s="68" t="e">
        <v>#N/A</v>
      </c>
      <c r="N3" s="68" t="e">
        <v>#N/A</v>
      </c>
      <c r="O3" s="68" t="e">
        <v>#N/A</v>
      </c>
      <c r="P3" s="68" t="e">
        <v>#N/A</v>
      </c>
      <c r="Q3" s="68" t="e">
        <v>#N/A</v>
      </c>
      <c r="R3" s="68" t="e">
        <v>#N/A</v>
      </c>
      <c r="S3" s="68" t="e">
        <v>#N/A</v>
      </c>
    </row>
    <row r="4" spans="1:19" x14ac:dyDescent="0.25">
      <c r="A4" s="15" t="s">
        <v>154</v>
      </c>
      <c r="B4" s="68" t="s">
        <v>128</v>
      </c>
      <c r="C4" s="68" t="s">
        <v>8</v>
      </c>
      <c r="D4" s="68" t="s">
        <v>155</v>
      </c>
      <c r="E4" s="68" t="s">
        <v>156</v>
      </c>
      <c r="F4" s="68" t="s">
        <v>157</v>
      </c>
      <c r="G4" s="68" t="s">
        <v>158</v>
      </c>
      <c r="H4" s="68" t="s">
        <v>159</v>
      </c>
      <c r="I4" s="68" t="s">
        <v>160</v>
      </c>
      <c r="J4" s="68" t="s">
        <v>161</v>
      </c>
      <c r="K4" s="68" t="s">
        <v>162</v>
      </c>
      <c r="L4" s="68" t="s">
        <v>163</v>
      </c>
      <c r="M4" s="68" t="s">
        <v>164</v>
      </c>
      <c r="N4" s="68" t="s">
        <v>165</v>
      </c>
      <c r="O4" s="68" t="s">
        <v>166</v>
      </c>
      <c r="P4" s="68" t="s">
        <v>167</v>
      </c>
      <c r="Q4" s="68" t="s">
        <v>168</v>
      </c>
      <c r="R4" s="68" t="s">
        <v>169</v>
      </c>
      <c r="S4" s="68" t="s">
        <v>170</v>
      </c>
    </row>
    <row r="5" spans="1:19" x14ac:dyDescent="0.25">
      <c r="A5" s="66" t="s">
        <v>5</v>
      </c>
      <c r="B5" s="68" t="s">
        <v>41</v>
      </c>
      <c r="C5" s="68" t="s">
        <v>8</v>
      </c>
      <c r="D5" s="68" t="s">
        <v>24</v>
      </c>
      <c r="E5" s="68" t="s">
        <v>22</v>
      </c>
      <c r="F5" s="68" t="s">
        <v>23</v>
      </c>
      <c r="G5" s="68" t="s">
        <v>101</v>
      </c>
      <c r="H5" s="68" t="s">
        <v>27</v>
      </c>
      <c r="I5" s="68" t="s">
        <v>100</v>
      </c>
      <c r="J5" s="68" t="s">
        <v>25</v>
      </c>
      <c r="K5" s="68" t="s">
        <v>26</v>
      </c>
      <c r="L5" s="68" t="s">
        <v>28</v>
      </c>
      <c r="M5" s="68" t="e">
        <v>#N/A</v>
      </c>
      <c r="N5" s="68" t="e">
        <v>#N/A</v>
      </c>
      <c r="O5" s="68" t="e">
        <v>#N/A</v>
      </c>
      <c r="P5" s="68" t="e">
        <v>#N/A</v>
      </c>
      <c r="Q5" s="68" t="e">
        <v>#N/A</v>
      </c>
      <c r="R5" s="68" t="e">
        <v>#N/A</v>
      </c>
      <c r="S5" s="68" t="e">
        <v>#N/A</v>
      </c>
    </row>
    <row r="6" spans="1:19" x14ac:dyDescent="0.25">
      <c r="A6" s="15" t="s">
        <v>171</v>
      </c>
      <c r="B6" s="68" t="s">
        <v>135</v>
      </c>
      <c r="C6" s="68" t="s">
        <v>8</v>
      </c>
      <c r="D6" s="68" t="s">
        <v>172</v>
      </c>
      <c r="E6" s="68" t="s">
        <v>173</v>
      </c>
      <c r="F6" s="68" t="s">
        <v>174</v>
      </c>
      <c r="G6" s="68" t="s">
        <v>175</v>
      </c>
      <c r="H6" s="68" t="s">
        <v>176</v>
      </c>
      <c r="I6" s="68" t="s">
        <v>177</v>
      </c>
      <c r="J6" s="68" t="s">
        <v>178</v>
      </c>
      <c r="K6" s="68" t="s">
        <v>179</v>
      </c>
      <c r="L6" s="68" t="e">
        <v>#N/A</v>
      </c>
      <c r="M6" s="68" t="e">
        <v>#N/A</v>
      </c>
      <c r="N6" s="68" t="e">
        <v>#N/A</v>
      </c>
      <c r="O6" s="68" t="e">
        <v>#N/A</v>
      </c>
      <c r="P6" s="68" t="e">
        <v>#N/A</v>
      </c>
      <c r="Q6" s="68" t="e">
        <v>#N/A</v>
      </c>
      <c r="R6" s="68" t="e">
        <v>#N/A</v>
      </c>
      <c r="S6" s="68" t="e">
        <v>#N/A</v>
      </c>
    </row>
    <row r="7" spans="1:19" x14ac:dyDescent="0.25">
      <c r="A7" s="66" t="s">
        <v>6</v>
      </c>
      <c r="B7" s="68" t="s">
        <v>42</v>
      </c>
      <c r="C7" s="68" t="s">
        <v>8</v>
      </c>
      <c r="D7" s="68" t="s">
        <v>32</v>
      </c>
      <c r="E7" s="68" t="s">
        <v>18</v>
      </c>
      <c r="F7" s="68" t="s">
        <v>31</v>
      </c>
      <c r="G7" s="68" t="s">
        <v>33</v>
      </c>
      <c r="H7" s="68" t="s">
        <v>30</v>
      </c>
      <c r="I7" s="68" t="s">
        <v>29</v>
      </c>
      <c r="J7" s="68" t="s">
        <v>102</v>
      </c>
      <c r="K7" s="68" t="e">
        <v>#N/A</v>
      </c>
      <c r="L7" s="68" t="e">
        <v>#N/A</v>
      </c>
      <c r="M7" s="68" t="e">
        <v>#N/A</v>
      </c>
      <c r="N7" s="68" t="e">
        <v>#N/A</v>
      </c>
      <c r="O7" s="68" t="e">
        <v>#N/A</v>
      </c>
      <c r="P7" s="68" t="e">
        <v>#N/A</v>
      </c>
      <c r="Q7" s="68" t="e">
        <v>#N/A</v>
      </c>
      <c r="R7" s="68" t="e">
        <v>#N/A</v>
      </c>
      <c r="S7" s="68" t="e">
        <v>#N/A</v>
      </c>
    </row>
    <row r="8" spans="1:19" x14ac:dyDescent="0.25">
      <c r="A8" s="15" t="s">
        <v>180</v>
      </c>
      <c r="B8" s="68" t="s">
        <v>142</v>
      </c>
      <c r="C8" s="68" t="s">
        <v>8</v>
      </c>
      <c r="D8" s="68" t="s">
        <v>181</v>
      </c>
      <c r="E8" s="68" t="s">
        <v>182</v>
      </c>
      <c r="F8" s="68" t="s">
        <v>183</v>
      </c>
      <c r="G8" s="68" t="s">
        <v>184</v>
      </c>
      <c r="H8" s="68" t="s">
        <v>185</v>
      </c>
      <c r="I8" s="68" t="s">
        <v>186</v>
      </c>
      <c r="J8" s="68" t="e">
        <v>#N/A</v>
      </c>
      <c r="K8" s="68" t="e">
        <v>#N/A</v>
      </c>
      <c r="L8" s="68" t="e">
        <v>#N/A</v>
      </c>
      <c r="M8" s="68" t="e">
        <v>#N/A</v>
      </c>
      <c r="N8" s="68" t="e">
        <v>#N/A</v>
      </c>
      <c r="O8" s="68" t="e">
        <v>#N/A</v>
      </c>
      <c r="P8" s="68" t="e">
        <v>#N/A</v>
      </c>
      <c r="Q8" s="68" t="e">
        <v>#N/A</v>
      </c>
      <c r="R8" s="68" t="e">
        <v>#N/A</v>
      </c>
      <c r="S8" s="68" t="e">
        <v>#N/A</v>
      </c>
    </row>
    <row r="9" spans="1:19" x14ac:dyDescent="0.25">
      <c r="A9" s="66" t="s">
        <v>2</v>
      </c>
      <c r="B9" s="68" t="s">
        <v>43</v>
      </c>
      <c r="C9" s="68" t="s">
        <v>8</v>
      </c>
      <c r="D9" s="68" t="s">
        <v>7</v>
      </c>
      <c r="E9" s="68" t="s">
        <v>103</v>
      </c>
      <c r="F9" s="68" t="s">
        <v>104</v>
      </c>
      <c r="G9" s="68" t="s">
        <v>9</v>
      </c>
      <c r="H9" s="68" t="s">
        <v>11</v>
      </c>
      <c r="I9" s="68" t="s">
        <v>10</v>
      </c>
      <c r="J9" s="68" t="s">
        <v>12</v>
      </c>
      <c r="K9" s="68" t="e">
        <v>#N/A</v>
      </c>
      <c r="L9" s="68" t="e">
        <v>#N/A</v>
      </c>
      <c r="M9" s="68" t="e">
        <v>#N/A</v>
      </c>
      <c r="N9" s="68" t="e">
        <v>#N/A</v>
      </c>
      <c r="O9" s="68" t="e">
        <v>#N/A</v>
      </c>
      <c r="P9" s="68" t="e">
        <v>#N/A</v>
      </c>
      <c r="Q9" s="68" t="e">
        <v>#N/A</v>
      </c>
      <c r="R9" s="68" t="e">
        <v>#N/A</v>
      </c>
      <c r="S9" s="68" t="e">
        <v>#N/A</v>
      </c>
    </row>
    <row r="10" spans="1:19" x14ac:dyDescent="0.25">
      <c r="A10" s="15" t="s">
        <v>187</v>
      </c>
      <c r="B10" s="68" t="s">
        <v>149</v>
      </c>
      <c r="C10" s="68" t="s">
        <v>8</v>
      </c>
      <c r="D10" s="68" t="s">
        <v>188</v>
      </c>
      <c r="E10" s="68" t="s">
        <v>189</v>
      </c>
      <c r="F10" s="68" t="s">
        <v>190</v>
      </c>
      <c r="G10" s="68" t="s">
        <v>191</v>
      </c>
      <c r="H10" s="68" t="s">
        <v>192</v>
      </c>
      <c r="I10" s="68" t="s">
        <v>193</v>
      </c>
      <c r="J10" s="68" t="s">
        <v>194</v>
      </c>
      <c r="K10" s="68" t="s">
        <v>195</v>
      </c>
      <c r="L10" s="68" t="s">
        <v>196</v>
      </c>
      <c r="M10" s="68" t="e">
        <v>#N/A</v>
      </c>
      <c r="N10" s="68" t="e">
        <v>#N/A</v>
      </c>
      <c r="O10" s="68" t="e">
        <v>#N/A</v>
      </c>
      <c r="P10" s="68" t="e">
        <v>#N/A</v>
      </c>
      <c r="Q10" s="68" t="e">
        <v>#N/A</v>
      </c>
      <c r="R10" s="68" t="e">
        <v>#N/A</v>
      </c>
      <c r="S10" s="68" t="e">
        <v>#N/A</v>
      </c>
    </row>
    <row r="14" spans="1:19" x14ac:dyDescent="0.25">
      <c r="A14" s="13" t="s">
        <v>197</v>
      </c>
      <c r="B14" s="13" t="s">
        <v>38</v>
      </c>
      <c r="C14" s="118" t="s">
        <v>34</v>
      </c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</row>
    <row r="15" spans="1:19" x14ac:dyDescent="0.25">
      <c r="A15" s="68" t="e">
        <f>MATCH(DR!I17,District,0)</f>
        <v>#N/A</v>
      </c>
      <c r="B15" s="68" t="e">
        <f>INDEX(DistrictCode,A15)</f>
        <v>#N/A</v>
      </c>
      <c r="C15" s="68" t="e">
        <f t="shared" ref="C15:S15" si="0">INDEX(Upazila,$A$15,C1)</f>
        <v>#N/A</v>
      </c>
      <c r="D15" s="68" t="e">
        <f t="shared" si="0"/>
        <v>#N/A</v>
      </c>
      <c r="E15" s="68" t="e">
        <f t="shared" si="0"/>
        <v>#N/A</v>
      </c>
      <c r="F15" s="68" t="e">
        <f t="shared" si="0"/>
        <v>#N/A</v>
      </c>
      <c r="G15" s="68" t="e">
        <f t="shared" si="0"/>
        <v>#N/A</v>
      </c>
      <c r="H15" s="68" t="e">
        <f t="shared" si="0"/>
        <v>#N/A</v>
      </c>
      <c r="I15" s="68" t="e">
        <f t="shared" si="0"/>
        <v>#N/A</v>
      </c>
      <c r="J15" s="68" t="e">
        <f t="shared" si="0"/>
        <v>#N/A</v>
      </c>
      <c r="K15" s="68" t="e">
        <f t="shared" si="0"/>
        <v>#N/A</v>
      </c>
      <c r="L15" s="68" t="e">
        <f t="shared" si="0"/>
        <v>#N/A</v>
      </c>
      <c r="M15" s="68" t="e">
        <f t="shared" si="0"/>
        <v>#N/A</v>
      </c>
      <c r="N15" s="68" t="e">
        <f t="shared" si="0"/>
        <v>#N/A</v>
      </c>
      <c r="O15" s="68" t="e">
        <f t="shared" si="0"/>
        <v>#N/A</v>
      </c>
      <c r="P15" s="68" t="e">
        <f t="shared" si="0"/>
        <v>#N/A</v>
      </c>
      <c r="Q15" s="68" t="e">
        <f t="shared" si="0"/>
        <v>#N/A</v>
      </c>
      <c r="R15" s="68" t="e">
        <f t="shared" si="0"/>
        <v>#N/A</v>
      </c>
      <c r="S15" s="68" t="e">
        <f t="shared" si="0"/>
        <v>#N/A</v>
      </c>
    </row>
    <row r="17" spans="1:8" x14ac:dyDescent="0.25">
      <c r="A17" s="51"/>
      <c r="B17" s="50"/>
    </row>
    <row r="18" spans="1:8" x14ac:dyDescent="0.25">
      <c r="A18" s="67" t="s">
        <v>37</v>
      </c>
      <c r="B18" s="119" t="e">
        <f>B15</f>
        <v>#N/A</v>
      </c>
      <c r="C18" s="119"/>
      <c r="F18" s="53"/>
      <c r="G18" s="54"/>
      <c r="H18" s="55"/>
    </row>
    <row r="19" spans="1:8" ht="16.5" x14ac:dyDescent="0.3">
      <c r="A19" s="51"/>
      <c r="B19" s="50"/>
      <c r="C19" s="50"/>
      <c r="F19" s="50"/>
      <c r="G19" s="52"/>
      <c r="H19" s="50"/>
    </row>
    <row r="20" spans="1:8" x14ac:dyDescent="0.25">
      <c r="A20" s="50"/>
      <c r="B20" s="50"/>
      <c r="C20" s="50"/>
      <c r="F20" s="50"/>
      <c r="G20" s="56"/>
      <c r="H20" s="57"/>
    </row>
    <row r="21" spans="1:8" x14ac:dyDescent="0.25">
      <c r="A21" s="50"/>
      <c r="B21" s="50"/>
      <c r="C21" s="50"/>
    </row>
    <row r="22" spans="1:8" x14ac:dyDescent="0.25">
      <c r="A22" s="50"/>
      <c r="B22" s="50"/>
      <c r="C22" s="50"/>
    </row>
    <row r="23" spans="1:8" x14ac:dyDescent="0.25">
      <c r="A23" s="51"/>
      <c r="B23" s="50"/>
      <c r="C23" s="50"/>
    </row>
    <row r="24" spans="1:8" x14ac:dyDescent="0.25">
      <c r="A24" s="58"/>
      <c r="B24" s="50"/>
      <c r="C24" s="50"/>
    </row>
    <row r="25" spans="1:8" x14ac:dyDescent="0.25">
      <c r="A25" s="58"/>
      <c r="B25" s="50"/>
      <c r="C25" s="50"/>
    </row>
  </sheetData>
  <sheetProtection algorithmName="SHA-512" hashValue="599FUoAxtvs/lMTNsobSQ2iPBQKh0VBOqTJo2ltkVceYCdIPMuU7Nd07lJv2psRIexjWOOeI+SYsQ79sH8a72A==" saltValue="snHUJIE7yjdHE0mZEEXnEg==" spinCount="100000" sheet="1" objects="1" scenarios="1"/>
  <mergeCells count="2">
    <mergeCell ref="C14:S14"/>
    <mergeCell ref="B18:C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"/>
  <sheetViews>
    <sheetView topLeftCell="A4" workbookViewId="0">
      <selection activeCell="E22" sqref="E22"/>
    </sheetView>
  </sheetViews>
  <sheetFormatPr defaultRowHeight="15.75" x14ac:dyDescent="0.2"/>
  <cols>
    <col min="1" max="1" width="9.25" style="61" bestFit="1" customWidth="1"/>
    <col min="2" max="2" width="20.75" style="61" bestFit="1" customWidth="1"/>
    <col min="3" max="3" width="30.375" style="61" bestFit="1" customWidth="1"/>
    <col min="4" max="4" width="27.5" style="61" bestFit="1" customWidth="1"/>
    <col min="5" max="5" width="11.5" style="61" customWidth="1"/>
    <col min="6" max="6" width="32.75" style="61" customWidth="1"/>
    <col min="7" max="8" width="9" style="61"/>
    <col min="9" max="9" width="13.875" style="61" bestFit="1" customWidth="1"/>
    <col min="10" max="16384" width="9" style="61"/>
  </cols>
  <sheetData>
    <row r="1" spans="1:9" x14ac:dyDescent="0.2">
      <c r="A1" s="69" t="s">
        <v>1</v>
      </c>
      <c r="B1" s="69" t="s">
        <v>91</v>
      </c>
      <c r="C1" s="69" t="s">
        <v>92</v>
      </c>
      <c r="D1" s="69" t="s">
        <v>93</v>
      </c>
    </row>
    <row r="2" spans="1:9" x14ac:dyDescent="0.2">
      <c r="A2" s="70" t="s">
        <v>39</v>
      </c>
      <c r="B2" s="70" t="s">
        <v>62</v>
      </c>
      <c r="C2" s="70" t="s">
        <v>63</v>
      </c>
      <c r="D2" s="70" t="s">
        <v>64</v>
      </c>
    </row>
    <row r="3" spans="1:9" x14ac:dyDescent="0.2">
      <c r="A3" s="70" t="s">
        <v>39</v>
      </c>
      <c r="B3" s="70" t="s">
        <v>65</v>
      </c>
      <c r="C3" s="70" t="s">
        <v>66</v>
      </c>
      <c r="D3" s="70" t="s">
        <v>67</v>
      </c>
      <c r="F3" s="62" t="s">
        <v>91</v>
      </c>
      <c r="I3" s="62"/>
    </row>
    <row r="4" spans="1:9" x14ac:dyDescent="0.2">
      <c r="A4" s="70" t="s">
        <v>121</v>
      </c>
      <c r="B4" s="70" t="s">
        <v>122</v>
      </c>
      <c r="C4" s="70" t="s">
        <v>123</v>
      </c>
      <c r="D4" s="70" t="s">
        <v>124</v>
      </c>
      <c r="F4" s="63">
        <f>DR!D15</f>
        <v>0</v>
      </c>
    </row>
    <row r="5" spans="1:9" x14ac:dyDescent="0.2">
      <c r="A5" s="70" t="s">
        <v>121</v>
      </c>
      <c r="B5" s="70" t="s">
        <v>125</v>
      </c>
      <c r="C5" s="70" t="s">
        <v>126</v>
      </c>
      <c r="D5" s="70" t="s">
        <v>127</v>
      </c>
      <c r="E5" s="64"/>
    </row>
    <row r="6" spans="1:9" x14ac:dyDescent="0.2">
      <c r="A6" s="70" t="s">
        <v>40</v>
      </c>
      <c r="B6" s="70" t="s">
        <v>68</v>
      </c>
      <c r="C6" s="70" t="s">
        <v>69</v>
      </c>
      <c r="D6" s="70" t="s">
        <v>70</v>
      </c>
      <c r="E6" s="65"/>
      <c r="F6" s="62" t="s">
        <v>94</v>
      </c>
    </row>
    <row r="7" spans="1:9" x14ac:dyDescent="0.2">
      <c r="A7" s="70" t="s">
        <v>40</v>
      </c>
      <c r="B7" s="70" t="s">
        <v>71</v>
      </c>
      <c r="C7" s="70" t="s">
        <v>72</v>
      </c>
      <c r="D7" s="70" t="s">
        <v>73</v>
      </c>
      <c r="E7" s="65"/>
      <c r="F7" s="61" t="e">
        <f>VLOOKUP(F4,B2:D21,2,FALSE)</f>
        <v>#N/A</v>
      </c>
    </row>
    <row r="8" spans="1:9" x14ac:dyDescent="0.2">
      <c r="A8" s="70" t="s">
        <v>128</v>
      </c>
      <c r="B8" s="70" t="s">
        <v>129</v>
      </c>
      <c r="C8" s="70" t="s">
        <v>130</v>
      </c>
      <c r="D8" s="70" t="s">
        <v>131</v>
      </c>
      <c r="E8" s="65"/>
    </row>
    <row r="9" spans="1:9" ht="15" customHeight="1" x14ac:dyDescent="0.2">
      <c r="A9" s="70" t="s">
        <v>128</v>
      </c>
      <c r="B9" s="70" t="s">
        <v>132</v>
      </c>
      <c r="C9" s="70" t="s">
        <v>133</v>
      </c>
      <c r="D9" s="70" t="s">
        <v>134</v>
      </c>
      <c r="E9" s="65"/>
      <c r="F9" s="62" t="s">
        <v>95</v>
      </c>
    </row>
    <row r="10" spans="1:9" x14ac:dyDescent="0.2">
      <c r="A10" s="70" t="s">
        <v>41</v>
      </c>
      <c r="B10" s="70" t="s">
        <v>74</v>
      </c>
      <c r="C10" s="70" t="s">
        <v>75</v>
      </c>
      <c r="D10" s="70" t="s">
        <v>76</v>
      </c>
      <c r="E10" s="65"/>
      <c r="F10" s="61" t="e">
        <f>VLOOKUP(F4,B2:D21,3,FALSE)</f>
        <v>#N/A</v>
      </c>
    </row>
    <row r="11" spans="1:9" x14ac:dyDescent="0.2">
      <c r="A11" s="70" t="s">
        <v>41</v>
      </c>
      <c r="B11" s="70" t="s">
        <v>77</v>
      </c>
      <c r="C11" s="70" t="s">
        <v>78</v>
      </c>
      <c r="D11" s="70" t="s">
        <v>79</v>
      </c>
      <c r="E11" s="65"/>
    </row>
    <row r="12" spans="1:9" x14ac:dyDescent="0.2">
      <c r="A12" s="70" t="s">
        <v>135</v>
      </c>
      <c r="B12" s="70" t="s">
        <v>136</v>
      </c>
      <c r="C12" s="70" t="s">
        <v>137</v>
      </c>
      <c r="D12" s="70" t="s">
        <v>138</v>
      </c>
      <c r="E12" s="65"/>
      <c r="F12" s="62" t="s">
        <v>201</v>
      </c>
    </row>
    <row r="13" spans="1:9" x14ac:dyDescent="0.2">
      <c r="A13" s="70" t="s">
        <v>135</v>
      </c>
      <c r="B13" s="70" t="s">
        <v>139</v>
      </c>
      <c r="C13" s="70" t="s">
        <v>140</v>
      </c>
      <c r="D13" s="70" t="s">
        <v>141</v>
      </c>
      <c r="E13" s="65"/>
      <c r="F13" s="63" t="str">
        <f>SUBSTITUTE(RIGHT(F4,11), " - ", "")</f>
        <v>0</v>
      </c>
    </row>
    <row r="14" spans="1:9" x14ac:dyDescent="0.2">
      <c r="A14" s="70" t="s">
        <v>42</v>
      </c>
      <c r="B14" s="70" t="s">
        <v>80</v>
      </c>
      <c r="C14" s="70" t="s">
        <v>81</v>
      </c>
      <c r="D14" s="70" t="s">
        <v>82</v>
      </c>
      <c r="E14" s="65"/>
    </row>
    <row r="15" spans="1:9" x14ac:dyDescent="0.2">
      <c r="A15" s="70" t="s">
        <v>42</v>
      </c>
      <c r="B15" s="70" t="s">
        <v>83</v>
      </c>
      <c r="C15" s="70" t="s">
        <v>84</v>
      </c>
      <c r="D15" s="70" t="s">
        <v>85</v>
      </c>
      <c r="E15" s="65"/>
    </row>
    <row r="16" spans="1:9" x14ac:dyDescent="0.2">
      <c r="A16" s="70" t="s">
        <v>142</v>
      </c>
      <c r="B16" s="70" t="s">
        <v>143</v>
      </c>
      <c r="C16" s="70" t="s">
        <v>144</v>
      </c>
      <c r="D16" s="70" t="s">
        <v>145</v>
      </c>
      <c r="E16" s="65"/>
    </row>
    <row r="17" spans="1:4" x14ac:dyDescent="0.2">
      <c r="A17" s="70" t="s">
        <v>142</v>
      </c>
      <c r="B17" s="70" t="s">
        <v>146</v>
      </c>
      <c r="C17" s="70" t="s">
        <v>147</v>
      </c>
      <c r="D17" s="70" t="s">
        <v>148</v>
      </c>
    </row>
    <row r="18" spans="1:4" x14ac:dyDescent="0.2">
      <c r="A18" s="70" t="s">
        <v>43</v>
      </c>
      <c r="B18" s="70" t="s">
        <v>86</v>
      </c>
      <c r="C18" s="70" t="s">
        <v>198</v>
      </c>
      <c r="D18" s="70" t="s">
        <v>87</v>
      </c>
    </row>
    <row r="19" spans="1:4" x14ac:dyDescent="0.2">
      <c r="A19" s="70" t="s">
        <v>43</v>
      </c>
      <c r="B19" s="70" t="s">
        <v>88</v>
      </c>
      <c r="C19" s="70" t="s">
        <v>89</v>
      </c>
      <c r="D19" s="70" t="s">
        <v>90</v>
      </c>
    </row>
    <row r="20" spans="1:4" x14ac:dyDescent="0.25">
      <c r="A20" s="70" t="s">
        <v>149</v>
      </c>
      <c r="B20" s="70" t="s">
        <v>150</v>
      </c>
      <c r="C20" s="1" t="s">
        <v>199</v>
      </c>
      <c r="D20" s="1" t="s">
        <v>200</v>
      </c>
    </row>
    <row r="21" spans="1:4" x14ac:dyDescent="0.2">
      <c r="A21" s="70" t="s">
        <v>149</v>
      </c>
      <c r="B21" s="70" t="s">
        <v>151</v>
      </c>
      <c r="C21" s="70" t="s">
        <v>152</v>
      </c>
      <c r="D21" s="70" t="s">
        <v>153</v>
      </c>
    </row>
  </sheetData>
  <sheetProtection algorithmName="SHA-512" hashValue="c7iLOL/aAZvsI5g8ChH3M+UDMOa4xe9l2rjCohFin52rNT7kO9FwJQjWqNPYZhf4Vlcz1fAxh3CyZruf559Tew==" saltValue="fZ1NyA2ygdrwIM2qw/uF3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2"/>
  <sheetViews>
    <sheetView workbookViewId="0">
      <selection activeCell="K18" sqref="K18"/>
    </sheetView>
  </sheetViews>
  <sheetFormatPr defaultRowHeight="15.75" x14ac:dyDescent="0.25"/>
  <cols>
    <col min="1" max="1" width="9" style="15"/>
    <col min="2" max="2" width="5.25" style="15" bestFit="1" customWidth="1"/>
    <col min="3" max="3" width="9.125" style="15" bestFit="1" customWidth="1"/>
    <col min="4" max="4" width="4.875" style="15" bestFit="1" customWidth="1"/>
    <col min="5" max="5" width="9" style="15"/>
    <col min="6" max="6" width="10.25" style="15" bestFit="1" customWidth="1"/>
    <col min="7" max="7" width="9.375" style="15" bestFit="1" customWidth="1"/>
    <col min="8" max="16384" width="9" style="15"/>
  </cols>
  <sheetData>
    <row r="1" spans="1:9" x14ac:dyDescent="0.25">
      <c r="A1" s="59" t="s">
        <v>45</v>
      </c>
      <c r="B1" s="59" t="s">
        <v>44</v>
      </c>
      <c r="C1" s="59" t="s">
        <v>58</v>
      </c>
    </row>
    <row r="2" spans="1:9" x14ac:dyDescent="0.25">
      <c r="A2" s="15" t="s">
        <v>46</v>
      </c>
      <c r="B2" s="15">
        <v>1</v>
      </c>
      <c r="C2" s="15">
        <v>2016</v>
      </c>
    </row>
    <row r="3" spans="1:9" x14ac:dyDescent="0.25">
      <c r="A3" s="15" t="s">
        <v>47</v>
      </c>
      <c r="B3" s="15">
        <v>2</v>
      </c>
      <c r="C3" s="15">
        <v>2017</v>
      </c>
    </row>
    <row r="4" spans="1:9" x14ac:dyDescent="0.25">
      <c r="A4" s="15" t="s">
        <v>48</v>
      </c>
      <c r="B4" s="15">
        <v>3</v>
      </c>
    </row>
    <row r="5" spans="1:9" x14ac:dyDescent="0.25">
      <c r="A5" s="15" t="s">
        <v>49</v>
      </c>
      <c r="B5" s="15">
        <v>4</v>
      </c>
      <c r="G5" s="15" t="s">
        <v>59</v>
      </c>
      <c r="H5" s="15" t="s">
        <v>60</v>
      </c>
      <c r="I5" s="15" t="s">
        <v>58</v>
      </c>
    </row>
    <row r="6" spans="1:9" x14ac:dyDescent="0.25">
      <c r="A6" s="15" t="s">
        <v>50</v>
      </c>
      <c r="B6" s="15">
        <v>5</v>
      </c>
      <c r="G6" s="15">
        <f>DR!I29</f>
        <v>0</v>
      </c>
      <c r="H6" s="15" t="e">
        <f>VLOOKUP(DR!J29,A2:B13,2,FALSE)</f>
        <v>#N/A</v>
      </c>
      <c r="I6" s="15">
        <f>DR!K29</f>
        <v>0</v>
      </c>
    </row>
    <row r="7" spans="1:9" x14ac:dyDescent="0.25">
      <c r="A7" s="15" t="s">
        <v>51</v>
      </c>
      <c r="B7" s="15">
        <v>6</v>
      </c>
    </row>
    <row r="8" spans="1:9" x14ac:dyDescent="0.25">
      <c r="A8" s="15" t="s">
        <v>52</v>
      </c>
      <c r="B8" s="15">
        <v>7</v>
      </c>
      <c r="F8" s="59" t="s">
        <v>35</v>
      </c>
      <c r="G8" s="60" t="e">
        <f>DATE(I6,H6,G6)</f>
        <v>#N/A</v>
      </c>
    </row>
    <row r="9" spans="1:9" x14ac:dyDescent="0.25">
      <c r="A9" s="15" t="s">
        <v>53</v>
      </c>
      <c r="B9" s="15">
        <v>8</v>
      </c>
    </row>
    <row r="10" spans="1:9" x14ac:dyDescent="0.25">
      <c r="A10" s="15" t="s">
        <v>54</v>
      </c>
      <c r="B10" s="15">
        <v>9</v>
      </c>
      <c r="F10" s="59" t="s">
        <v>36</v>
      </c>
      <c r="G10" s="60" t="e">
        <f>DATE(I13,H13,G13)</f>
        <v>#N/A</v>
      </c>
    </row>
    <row r="11" spans="1:9" x14ac:dyDescent="0.25">
      <c r="A11" s="15" t="s">
        <v>55</v>
      </c>
      <c r="B11" s="15">
        <v>10</v>
      </c>
    </row>
    <row r="12" spans="1:9" x14ac:dyDescent="0.25">
      <c r="A12" s="15" t="s">
        <v>56</v>
      </c>
      <c r="B12" s="15">
        <v>11</v>
      </c>
      <c r="G12" s="15" t="s">
        <v>59</v>
      </c>
      <c r="H12" s="15" t="s">
        <v>60</v>
      </c>
      <c r="I12" s="15" t="s">
        <v>58</v>
      </c>
    </row>
    <row r="13" spans="1:9" x14ac:dyDescent="0.25">
      <c r="A13" s="15" t="s">
        <v>57</v>
      </c>
      <c r="B13" s="15">
        <v>12</v>
      </c>
      <c r="G13" s="15">
        <f>DR!I31</f>
        <v>0</v>
      </c>
      <c r="H13" s="15" t="e">
        <f>VLOOKUP(DR!J31,A2:B13,2,FALSE)</f>
        <v>#N/A</v>
      </c>
      <c r="I13" s="15">
        <f>DR!K31</f>
        <v>0</v>
      </c>
    </row>
    <row r="14" spans="1:9" x14ac:dyDescent="0.25">
      <c r="B14" s="15">
        <v>13</v>
      </c>
    </row>
    <row r="15" spans="1:9" x14ac:dyDescent="0.25">
      <c r="B15" s="15">
        <v>14</v>
      </c>
    </row>
    <row r="16" spans="1:9" x14ac:dyDescent="0.25">
      <c r="B16" s="15">
        <v>15</v>
      </c>
    </row>
    <row r="17" spans="2:2" x14ac:dyDescent="0.25">
      <c r="B17" s="15">
        <v>16</v>
      </c>
    </row>
    <row r="18" spans="2:2" x14ac:dyDescent="0.25">
      <c r="B18" s="15">
        <v>17</v>
      </c>
    </row>
    <row r="19" spans="2:2" x14ac:dyDescent="0.25">
      <c r="B19" s="15">
        <v>18</v>
      </c>
    </row>
    <row r="20" spans="2:2" x14ac:dyDescent="0.25">
      <c r="B20" s="15">
        <v>19</v>
      </c>
    </row>
    <row r="21" spans="2:2" x14ac:dyDescent="0.25">
      <c r="B21" s="15">
        <v>20</v>
      </c>
    </row>
    <row r="22" spans="2:2" x14ac:dyDescent="0.25">
      <c r="B22" s="15">
        <v>21</v>
      </c>
    </row>
    <row r="23" spans="2:2" x14ac:dyDescent="0.25">
      <c r="B23" s="15">
        <v>22</v>
      </c>
    </row>
    <row r="24" spans="2:2" x14ac:dyDescent="0.25">
      <c r="B24" s="15">
        <v>23</v>
      </c>
    </row>
    <row r="25" spans="2:2" x14ac:dyDescent="0.25">
      <c r="B25" s="15">
        <v>24</v>
      </c>
    </row>
    <row r="26" spans="2:2" x14ac:dyDescent="0.25">
      <c r="B26" s="15">
        <v>25</v>
      </c>
    </row>
    <row r="27" spans="2:2" x14ac:dyDescent="0.25">
      <c r="B27" s="15">
        <v>26</v>
      </c>
    </row>
    <row r="28" spans="2:2" x14ac:dyDescent="0.25">
      <c r="B28" s="15">
        <v>27</v>
      </c>
    </row>
    <row r="29" spans="2:2" x14ac:dyDescent="0.25">
      <c r="B29" s="15">
        <v>28</v>
      </c>
    </row>
    <row r="30" spans="2:2" x14ac:dyDescent="0.25">
      <c r="B30" s="15">
        <v>29</v>
      </c>
    </row>
    <row r="31" spans="2:2" x14ac:dyDescent="0.25">
      <c r="B31" s="15">
        <v>30</v>
      </c>
    </row>
    <row r="32" spans="2:2" x14ac:dyDescent="0.25">
      <c r="B32" s="15">
        <v>31</v>
      </c>
    </row>
  </sheetData>
  <sheetProtection algorithmName="SHA-512" hashValue="kXLfDI5y7qTttoxNKD3f9ozPVPbvjE4Yq9/2hNCfzS49YD+x5DXoOTJ03Y9Bq67X7KiL4GN7AXTwOAuG+VEPwg==" saltValue="Pr2kwqwJIEGJcLGWhYUhv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DR</vt:lpstr>
      <vt:lpstr>Email</vt:lpstr>
      <vt:lpstr>District</vt:lpstr>
      <vt:lpstr>DistrictCode</vt:lpstr>
      <vt:lpstr>Upazila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2016-05-13T12:35:01Z</dcterms:modified>
</cp:coreProperties>
</file>